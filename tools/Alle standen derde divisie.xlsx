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gijs\derde_divisie\tools\"/>
    </mc:Choice>
  </mc:AlternateContent>
  <xr:revisionPtr revIDLastSave="0" documentId="13_ncr:1_{A0C7031B-F69F-46E0-A7CA-D716578610B8}" xr6:coauthVersionLast="47" xr6:coauthVersionMax="47" xr10:uidLastSave="{00000000-0000-0000-0000-000000000000}"/>
  <bookViews>
    <workbookView xWindow="-108" yWindow="-108" windowWidth="23256" windowHeight="12456" xr2:uid="{E185487E-D128-410B-AABE-8B50484F0E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76" i="1" l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75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U192" i="1"/>
  <c r="R192" i="1"/>
  <c r="U191" i="1"/>
  <c r="R191" i="1"/>
  <c r="U190" i="1"/>
  <c r="R190" i="1"/>
  <c r="U189" i="1"/>
  <c r="R189" i="1"/>
  <c r="U188" i="1"/>
  <c r="R188" i="1"/>
  <c r="U187" i="1"/>
  <c r="R187" i="1"/>
  <c r="U186" i="1"/>
  <c r="R186" i="1"/>
  <c r="U185" i="1"/>
  <c r="R185" i="1"/>
  <c r="U184" i="1"/>
  <c r="R184" i="1"/>
  <c r="U183" i="1"/>
  <c r="R183" i="1"/>
  <c r="U182" i="1"/>
  <c r="R182" i="1"/>
  <c r="U181" i="1"/>
  <c r="R181" i="1"/>
  <c r="U180" i="1"/>
  <c r="R180" i="1"/>
  <c r="U179" i="1"/>
  <c r="R179" i="1"/>
  <c r="U178" i="1"/>
  <c r="R178" i="1"/>
  <c r="U177" i="1"/>
  <c r="R177" i="1"/>
  <c r="U176" i="1"/>
  <c r="R176" i="1"/>
  <c r="U175" i="1"/>
  <c r="R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75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4" i="1"/>
  <c r="U154" i="1"/>
  <c r="R154" i="1"/>
  <c r="Q154" i="1"/>
  <c r="U153" i="1"/>
  <c r="R153" i="1"/>
  <c r="Q153" i="1"/>
  <c r="U152" i="1"/>
  <c r="R152" i="1"/>
  <c r="Q152" i="1"/>
  <c r="U151" i="1"/>
  <c r="R151" i="1"/>
  <c r="Q151" i="1"/>
  <c r="U150" i="1"/>
  <c r="R150" i="1"/>
  <c r="Q150" i="1"/>
  <c r="U149" i="1"/>
  <c r="R149" i="1"/>
  <c r="Q149" i="1"/>
  <c r="U148" i="1"/>
  <c r="R148" i="1"/>
  <c r="Q148" i="1"/>
  <c r="U147" i="1"/>
  <c r="R147" i="1"/>
  <c r="Q147" i="1"/>
  <c r="U146" i="1"/>
  <c r="R146" i="1"/>
  <c r="Q146" i="1"/>
  <c r="U145" i="1"/>
  <c r="R145" i="1"/>
  <c r="Q145" i="1"/>
  <c r="U144" i="1"/>
  <c r="R144" i="1"/>
  <c r="Q144" i="1"/>
  <c r="U143" i="1"/>
  <c r="R143" i="1"/>
  <c r="Q143" i="1"/>
  <c r="U142" i="1"/>
  <c r="R142" i="1"/>
  <c r="Q142" i="1"/>
  <c r="U141" i="1"/>
  <c r="R141" i="1"/>
  <c r="Q141" i="1"/>
  <c r="U140" i="1"/>
  <c r="R140" i="1"/>
  <c r="Q140" i="1"/>
  <c r="U139" i="1"/>
  <c r="R139" i="1"/>
  <c r="Q139" i="1"/>
  <c r="U138" i="1"/>
  <c r="R138" i="1"/>
  <c r="Q138" i="1"/>
  <c r="U137" i="1"/>
  <c r="R137" i="1"/>
  <c r="Q137" i="1"/>
  <c r="J154" i="1"/>
  <c r="G154" i="1"/>
  <c r="F154" i="1"/>
  <c r="J153" i="1"/>
  <c r="G153" i="1"/>
  <c r="F153" i="1"/>
  <c r="J152" i="1"/>
  <c r="G152" i="1"/>
  <c r="F152" i="1"/>
  <c r="J151" i="1"/>
  <c r="G151" i="1"/>
  <c r="F151" i="1"/>
  <c r="J150" i="1"/>
  <c r="G150" i="1"/>
  <c r="F150" i="1"/>
  <c r="J149" i="1"/>
  <c r="G149" i="1"/>
  <c r="F149" i="1"/>
  <c r="J148" i="1"/>
  <c r="G148" i="1"/>
  <c r="F148" i="1"/>
  <c r="J147" i="1"/>
  <c r="G147" i="1"/>
  <c r="F147" i="1"/>
  <c r="J146" i="1"/>
  <c r="G146" i="1"/>
  <c r="F146" i="1"/>
  <c r="J145" i="1"/>
  <c r="G145" i="1"/>
  <c r="F145" i="1"/>
  <c r="J144" i="1"/>
  <c r="G144" i="1"/>
  <c r="F144" i="1"/>
  <c r="J143" i="1"/>
  <c r="G143" i="1"/>
  <c r="F143" i="1"/>
  <c r="J142" i="1"/>
  <c r="G142" i="1"/>
  <c r="F142" i="1"/>
  <c r="J141" i="1"/>
  <c r="G141" i="1"/>
  <c r="F141" i="1"/>
  <c r="J140" i="1"/>
  <c r="G140" i="1"/>
  <c r="F140" i="1"/>
  <c r="J139" i="1"/>
  <c r="G139" i="1"/>
  <c r="F139" i="1"/>
  <c r="J138" i="1"/>
  <c r="G138" i="1"/>
  <c r="F138" i="1"/>
  <c r="J137" i="1"/>
  <c r="G137" i="1"/>
  <c r="F137" i="1"/>
  <c r="U135" i="1"/>
  <c r="R135" i="1"/>
  <c r="Q135" i="1"/>
  <c r="U134" i="1"/>
  <c r="R134" i="1"/>
  <c r="Q134" i="1"/>
  <c r="U133" i="1"/>
  <c r="R133" i="1"/>
  <c r="Q133" i="1"/>
  <c r="U132" i="1"/>
  <c r="R132" i="1"/>
  <c r="Q132" i="1"/>
  <c r="U131" i="1"/>
  <c r="R131" i="1"/>
  <c r="Q131" i="1"/>
  <c r="U130" i="1"/>
  <c r="R130" i="1"/>
  <c r="Q130" i="1"/>
  <c r="U129" i="1"/>
  <c r="R129" i="1"/>
  <c r="Q129" i="1"/>
  <c r="U128" i="1"/>
  <c r="R128" i="1"/>
  <c r="Q128" i="1"/>
  <c r="U127" i="1"/>
  <c r="R127" i="1"/>
  <c r="Q127" i="1"/>
  <c r="U126" i="1"/>
  <c r="R126" i="1"/>
  <c r="Q126" i="1"/>
  <c r="U125" i="1"/>
  <c r="R125" i="1"/>
  <c r="Q125" i="1"/>
  <c r="U124" i="1"/>
  <c r="R124" i="1"/>
  <c r="Q124" i="1"/>
  <c r="U123" i="1"/>
  <c r="R123" i="1"/>
  <c r="Q123" i="1"/>
  <c r="U122" i="1"/>
  <c r="R122" i="1"/>
  <c r="Q122" i="1"/>
  <c r="U121" i="1"/>
  <c r="R121" i="1"/>
  <c r="Q121" i="1"/>
  <c r="U120" i="1"/>
  <c r="R120" i="1"/>
  <c r="Q120" i="1"/>
  <c r="U119" i="1"/>
  <c r="R119" i="1"/>
  <c r="Q119" i="1"/>
  <c r="U118" i="1"/>
  <c r="R118" i="1"/>
  <c r="Q118" i="1"/>
  <c r="J135" i="1"/>
  <c r="G135" i="1"/>
  <c r="J134" i="1"/>
  <c r="G134" i="1"/>
  <c r="J133" i="1"/>
  <c r="G133" i="1"/>
  <c r="J132" i="1"/>
  <c r="G132" i="1"/>
  <c r="J131" i="1"/>
  <c r="G131" i="1"/>
  <c r="J130" i="1"/>
  <c r="G130" i="1"/>
  <c r="J129" i="1"/>
  <c r="G129" i="1"/>
  <c r="J128" i="1"/>
  <c r="G128" i="1"/>
  <c r="J127" i="1"/>
  <c r="G127" i="1"/>
  <c r="J126" i="1"/>
  <c r="G126" i="1"/>
  <c r="J125" i="1"/>
  <c r="G125" i="1"/>
  <c r="J124" i="1"/>
  <c r="G124" i="1"/>
  <c r="J123" i="1"/>
  <c r="G123" i="1"/>
  <c r="J122" i="1"/>
  <c r="G122" i="1"/>
  <c r="J121" i="1"/>
  <c r="G121" i="1"/>
  <c r="J120" i="1"/>
  <c r="G120" i="1"/>
  <c r="J119" i="1"/>
  <c r="G119" i="1"/>
  <c r="J118" i="1"/>
  <c r="G118" i="1"/>
  <c r="U116" i="1"/>
  <c r="R116" i="1"/>
  <c r="Q116" i="1"/>
  <c r="U115" i="1"/>
  <c r="R115" i="1"/>
  <c r="Q115" i="1"/>
  <c r="U114" i="1"/>
  <c r="R114" i="1"/>
  <c r="Q114" i="1"/>
  <c r="U113" i="1"/>
  <c r="R113" i="1"/>
  <c r="Q113" i="1"/>
  <c r="U112" i="1"/>
  <c r="R112" i="1"/>
  <c r="Q112" i="1"/>
  <c r="U111" i="1"/>
  <c r="R111" i="1"/>
  <c r="Q111" i="1"/>
  <c r="U110" i="1"/>
  <c r="R110" i="1"/>
  <c r="Q110" i="1"/>
  <c r="U109" i="1"/>
  <c r="R109" i="1"/>
  <c r="Q109" i="1"/>
  <c r="U108" i="1"/>
  <c r="R108" i="1"/>
  <c r="Q108" i="1"/>
  <c r="U107" i="1"/>
  <c r="R107" i="1"/>
  <c r="Q107" i="1"/>
  <c r="U106" i="1"/>
  <c r="R106" i="1"/>
  <c r="Q106" i="1"/>
  <c r="U105" i="1"/>
  <c r="R105" i="1"/>
  <c r="Q105" i="1"/>
  <c r="U104" i="1"/>
  <c r="R104" i="1"/>
  <c r="Q104" i="1"/>
  <c r="U103" i="1"/>
  <c r="R103" i="1"/>
  <c r="Q103" i="1"/>
  <c r="U102" i="1"/>
  <c r="R102" i="1"/>
  <c r="Q102" i="1"/>
  <c r="U101" i="1"/>
  <c r="R101" i="1"/>
  <c r="Q101" i="1"/>
  <c r="U100" i="1"/>
  <c r="R100" i="1"/>
  <c r="Q100" i="1"/>
  <c r="U99" i="1"/>
  <c r="R99" i="1"/>
  <c r="Q99" i="1"/>
  <c r="J116" i="1"/>
  <c r="G116" i="1"/>
  <c r="J115" i="1"/>
  <c r="G115" i="1"/>
  <c r="J114" i="1"/>
  <c r="G114" i="1"/>
  <c r="J113" i="1"/>
  <c r="G113" i="1"/>
  <c r="J112" i="1"/>
  <c r="G112" i="1"/>
  <c r="J111" i="1"/>
  <c r="G111" i="1"/>
  <c r="J110" i="1"/>
  <c r="G110" i="1"/>
  <c r="J109" i="1"/>
  <c r="G109" i="1"/>
  <c r="J108" i="1"/>
  <c r="G108" i="1"/>
  <c r="J107" i="1"/>
  <c r="G107" i="1"/>
  <c r="J106" i="1"/>
  <c r="G106" i="1"/>
  <c r="J105" i="1"/>
  <c r="G105" i="1"/>
  <c r="J104" i="1"/>
  <c r="G104" i="1"/>
  <c r="J103" i="1"/>
  <c r="G103" i="1"/>
  <c r="J102" i="1"/>
  <c r="G102" i="1"/>
  <c r="J101" i="1"/>
  <c r="G101" i="1"/>
  <c r="J100" i="1"/>
  <c r="G100" i="1"/>
  <c r="J99" i="1"/>
  <c r="G99" i="1"/>
  <c r="U97" i="1"/>
  <c r="R97" i="1"/>
  <c r="Q97" i="1"/>
  <c r="U96" i="1"/>
  <c r="R96" i="1"/>
  <c r="Q96" i="1"/>
  <c r="U95" i="1"/>
  <c r="R95" i="1"/>
  <c r="Q95" i="1"/>
  <c r="U94" i="1"/>
  <c r="R94" i="1"/>
  <c r="Q94" i="1"/>
  <c r="U93" i="1"/>
  <c r="R93" i="1"/>
  <c r="Q93" i="1"/>
  <c r="U92" i="1"/>
  <c r="R92" i="1"/>
  <c r="Q92" i="1"/>
  <c r="U91" i="1"/>
  <c r="R91" i="1"/>
  <c r="Q91" i="1"/>
  <c r="U90" i="1"/>
  <c r="R90" i="1"/>
  <c r="Q90" i="1"/>
  <c r="U89" i="1"/>
  <c r="R89" i="1"/>
  <c r="Q89" i="1"/>
  <c r="U88" i="1"/>
  <c r="R88" i="1"/>
  <c r="Q88" i="1"/>
  <c r="U87" i="1"/>
  <c r="R87" i="1"/>
  <c r="Q87" i="1"/>
  <c r="U86" i="1"/>
  <c r="R86" i="1"/>
  <c r="Q86" i="1"/>
  <c r="U85" i="1"/>
  <c r="R85" i="1"/>
  <c r="Q85" i="1"/>
  <c r="U84" i="1"/>
  <c r="R84" i="1"/>
  <c r="Q84" i="1"/>
  <c r="U83" i="1"/>
  <c r="R83" i="1"/>
  <c r="Q83" i="1"/>
  <c r="U82" i="1"/>
  <c r="R82" i="1"/>
  <c r="Q82" i="1"/>
  <c r="U81" i="1"/>
  <c r="R81" i="1"/>
  <c r="Q81" i="1"/>
  <c r="U80" i="1"/>
  <c r="R80" i="1"/>
  <c r="Q80" i="1"/>
  <c r="J97" i="1"/>
  <c r="G97" i="1"/>
  <c r="J96" i="1"/>
  <c r="G96" i="1"/>
  <c r="J95" i="1"/>
  <c r="G95" i="1"/>
  <c r="J94" i="1"/>
  <c r="G94" i="1"/>
  <c r="J93" i="1"/>
  <c r="G93" i="1"/>
  <c r="J92" i="1"/>
  <c r="G92" i="1"/>
  <c r="J91" i="1"/>
  <c r="G91" i="1"/>
  <c r="J90" i="1"/>
  <c r="G90" i="1"/>
  <c r="J89" i="1"/>
  <c r="G89" i="1"/>
  <c r="J88" i="1"/>
  <c r="G88" i="1"/>
  <c r="J87" i="1"/>
  <c r="G87" i="1"/>
  <c r="J86" i="1"/>
  <c r="G86" i="1"/>
  <c r="J85" i="1"/>
  <c r="G85" i="1"/>
  <c r="J84" i="1"/>
  <c r="G84" i="1"/>
  <c r="J83" i="1"/>
  <c r="G83" i="1"/>
  <c r="J82" i="1"/>
  <c r="G82" i="1"/>
  <c r="J81" i="1"/>
  <c r="G81" i="1"/>
  <c r="J80" i="1"/>
  <c r="G80" i="1"/>
  <c r="U78" i="1"/>
  <c r="R78" i="1"/>
  <c r="Q78" i="1"/>
  <c r="U77" i="1"/>
  <c r="R77" i="1"/>
  <c r="Q77" i="1"/>
  <c r="U76" i="1"/>
  <c r="R76" i="1"/>
  <c r="Q76" i="1"/>
  <c r="U75" i="1"/>
  <c r="R75" i="1"/>
  <c r="Q75" i="1"/>
  <c r="U74" i="1"/>
  <c r="R74" i="1"/>
  <c r="Q74" i="1"/>
  <c r="U73" i="1"/>
  <c r="R73" i="1"/>
  <c r="Q73" i="1"/>
  <c r="U72" i="1"/>
  <c r="R72" i="1"/>
  <c r="Q72" i="1"/>
  <c r="U71" i="1"/>
  <c r="R71" i="1"/>
  <c r="Q71" i="1"/>
  <c r="U70" i="1"/>
  <c r="R70" i="1"/>
  <c r="Q70" i="1"/>
  <c r="U69" i="1"/>
  <c r="R69" i="1"/>
  <c r="Q69" i="1"/>
  <c r="U68" i="1"/>
  <c r="R68" i="1"/>
  <c r="Q68" i="1"/>
  <c r="U67" i="1"/>
  <c r="R67" i="1"/>
  <c r="Q67" i="1"/>
  <c r="U66" i="1"/>
  <c r="R66" i="1"/>
  <c r="Q66" i="1"/>
  <c r="U65" i="1"/>
  <c r="R65" i="1"/>
  <c r="Q65" i="1"/>
  <c r="U64" i="1"/>
  <c r="R64" i="1"/>
  <c r="Q64" i="1"/>
  <c r="U63" i="1"/>
  <c r="R63" i="1"/>
  <c r="Q63" i="1"/>
  <c r="U62" i="1"/>
  <c r="R62" i="1"/>
  <c r="Q62" i="1"/>
  <c r="J78" i="1"/>
  <c r="G78" i="1"/>
  <c r="J77" i="1"/>
  <c r="G77" i="1"/>
  <c r="J76" i="1"/>
  <c r="G76" i="1"/>
  <c r="J75" i="1"/>
  <c r="G75" i="1"/>
  <c r="J74" i="1"/>
  <c r="G74" i="1"/>
  <c r="J73" i="1"/>
  <c r="G73" i="1"/>
  <c r="J72" i="1"/>
  <c r="G72" i="1"/>
  <c r="J71" i="1"/>
  <c r="G71" i="1"/>
  <c r="J70" i="1"/>
  <c r="G70" i="1"/>
  <c r="J69" i="1"/>
  <c r="G69" i="1"/>
  <c r="J68" i="1"/>
  <c r="G68" i="1"/>
  <c r="J67" i="1"/>
  <c r="G67" i="1"/>
  <c r="J66" i="1"/>
  <c r="G66" i="1"/>
  <c r="J65" i="1"/>
  <c r="G65" i="1"/>
  <c r="J64" i="1"/>
  <c r="G64" i="1"/>
  <c r="J63" i="1"/>
  <c r="G63" i="1"/>
  <c r="J62" i="1"/>
  <c r="G62" i="1"/>
  <c r="U60" i="1"/>
  <c r="R60" i="1"/>
  <c r="Q60" i="1"/>
  <c r="U59" i="1"/>
  <c r="R59" i="1"/>
  <c r="Q59" i="1"/>
  <c r="U58" i="1"/>
  <c r="R58" i="1"/>
  <c r="Q58" i="1"/>
  <c r="U57" i="1"/>
  <c r="R57" i="1"/>
  <c r="Q57" i="1"/>
  <c r="U56" i="1"/>
  <c r="R56" i="1"/>
  <c r="Q56" i="1"/>
  <c r="U55" i="1"/>
  <c r="R55" i="1"/>
  <c r="Q55" i="1"/>
  <c r="U54" i="1"/>
  <c r="R54" i="1"/>
  <c r="Q54" i="1"/>
  <c r="U53" i="1"/>
  <c r="R53" i="1"/>
  <c r="Q53" i="1"/>
  <c r="U52" i="1"/>
  <c r="R52" i="1"/>
  <c r="Q52" i="1"/>
  <c r="U51" i="1"/>
  <c r="R51" i="1"/>
  <c r="Q51" i="1"/>
  <c r="U50" i="1"/>
  <c r="R50" i="1"/>
  <c r="Q50" i="1"/>
  <c r="U49" i="1"/>
  <c r="R49" i="1"/>
  <c r="Q49" i="1"/>
  <c r="U48" i="1"/>
  <c r="R48" i="1"/>
  <c r="Q48" i="1"/>
  <c r="U47" i="1"/>
  <c r="R47" i="1"/>
  <c r="Q47" i="1"/>
  <c r="U46" i="1"/>
  <c r="R46" i="1"/>
  <c r="Q46" i="1"/>
  <c r="U45" i="1"/>
  <c r="R45" i="1"/>
  <c r="Q45" i="1"/>
  <c r="U44" i="1"/>
  <c r="R44" i="1"/>
  <c r="Q44" i="1"/>
  <c r="U43" i="1"/>
  <c r="R43" i="1"/>
  <c r="Q43" i="1"/>
  <c r="J60" i="1"/>
  <c r="G60" i="1"/>
  <c r="J59" i="1"/>
  <c r="G59" i="1"/>
  <c r="J58" i="1"/>
  <c r="G58" i="1"/>
  <c r="J57" i="1"/>
  <c r="G57" i="1"/>
  <c r="J56" i="1"/>
  <c r="G56" i="1"/>
  <c r="J55" i="1"/>
  <c r="G55" i="1"/>
  <c r="J54" i="1"/>
  <c r="G54" i="1"/>
  <c r="J53" i="1"/>
  <c r="G53" i="1"/>
  <c r="J52" i="1"/>
  <c r="G52" i="1"/>
  <c r="J51" i="1"/>
  <c r="G51" i="1"/>
  <c r="J50" i="1"/>
  <c r="G50" i="1"/>
  <c r="J49" i="1"/>
  <c r="G49" i="1"/>
  <c r="J48" i="1"/>
  <c r="G48" i="1"/>
  <c r="J47" i="1"/>
  <c r="G47" i="1"/>
  <c r="J46" i="1"/>
  <c r="G46" i="1"/>
  <c r="J45" i="1"/>
  <c r="G45" i="1"/>
  <c r="J44" i="1"/>
  <c r="G44" i="1"/>
  <c r="J43" i="1"/>
  <c r="G43" i="1"/>
  <c r="U41" i="1"/>
  <c r="R41" i="1"/>
  <c r="Q41" i="1"/>
  <c r="U40" i="1"/>
  <c r="R40" i="1"/>
  <c r="Q40" i="1"/>
  <c r="U39" i="1"/>
  <c r="R39" i="1"/>
  <c r="Q39" i="1"/>
  <c r="U38" i="1"/>
  <c r="R38" i="1"/>
  <c r="Q38" i="1"/>
  <c r="U37" i="1"/>
  <c r="R37" i="1"/>
  <c r="Q37" i="1"/>
  <c r="U36" i="1"/>
  <c r="R36" i="1"/>
  <c r="Q36" i="1"/>
  <c r="U35" i="1"/>
  <c r="R35" i="1"/>
  <c r="Q35" i="1"/>
  <c r="U34" i="1"/>
  <c r="R34" i="1"/>
  <c r="Q34" i="1"/>
  <c r="U33" i="1"/>
  <c r="R33" i="1"/>
  <c r="Q33" i="1"/>
  <c r="U32" i="1"/>
  <c r="R32" i="1"/>
  <c r="Q32" i="1"/>
  <c r="U31" i="1"/>
  <c r="R31" i="1"/>
  <c r="Q31" i="1"/>
  <c r="U30" i="1"/>
  <c r="R30" i="1"/>
  <c r="Q30" i="1"/>
  <c r="U29" i="1"/>
  <c r="R29" i="1"/>
  <c r="Q29" i="1"/>
  <c r="U28" i="1"/>
  <c r="R28" i="1"/>
  <c r="Q28" i="1"/>
  <c r="U27" i="1"/>
  <c r="R27" i="1"/>
  <c r="Q27" i="1"/>
  <c r="U26" i="1"/>
  <c r="R26" i="1"/>
  <c r="Q26" i="1"/>
  <c r="U25" i="1"/>
  <c r="R25" i="1"/>
  <c r="Q25" i="1"/>
  <c r="U24" i="1"/>
  <c r="R24" i="1"/>
  <c r="Q24" i="1"/>
  <c r="J41" i="1"/>
  <c r="G41" i="1"/>
  <c r="J40" i="1"/>
  <c r="G40" i="1"/>
  <c r="J39" i="1"/>
  <c r="G39" i="1"/>
  <c r="J38" i="1"/>
  <c r="G38" i="1"/>
  <c r="J37" i="1"/>
  <c r="G37" i="1"/>
  <c r="J36" i="1"/>
  <c r="G36" i="1"/>
  <c r="J35" i="1"/>
  <c r="G35" i="1"/>
  <c r="J34" i="1"/>
  <c r="G34" i="1"/>
  <c r="J33" i="1"/>
  <c r="G33" i="1"/>
  <c r="J32" i="1"/>
  <c r="G32" i="1"/>
  <c r="J31" i="1"/>
  <c r="G31" i="1"/>
  <c r="J30" i="1"/>
  <c r="G30" i="1"/>
  <c r="J29" i="1"/>
  <c r="G29" i="1"/>
  <c r="J28" i="1"/>
  <c r="G28" i="1"/>
  <c r="J27" i="1"/>
  <c r="G27" i="1"/>
  <c r="J26" i="1"/>
  <c r="G26" i="1"/>
  <c r="J25" i="1"/>
  <c r="G25" i="1"/>
  <c r="J24" i="1"/>
  <c r="G24" i="1"/>
  <c r="U21" i="1"/>
  <c r="R21" i="1"/>
  <c r="Q21" i="1"/>
  <c r="U20" i="1"/>
  <c r="R20" i="1"/>
  <c r="Q20" i="1"/>
  <c r="U19" i="1"/>
  <c r="R19" i="1"/>
  <c r="Q19" i="1"/>
  <c r="U18" i="1"/>
  <c r="R18" i="1"/>
  <c r="Q18" i="1"/>
  <c r="U17" i="1"/>
  <c r="R17" i="1"/>
  <c r="Q17" i="1"/>
  <c r="U16" i="1"/>
  <c r="R16" i="1"/>
  <c r="Q16" i="1"/>
  <c r="U15" i="1"/>
  <c r="R15" i="1"/>
  <c r="Q15" i="1"/>
  <c r="U14" i="1"/>
  <c r="R14" i="1"/>
  <c r="Q14" i="1"/>
  <c r="U13" i="1"/>
  <c r="R13" i="1"/>
  <c r="Q13" i="1"/>
  <c r="U12" i="1"/>
  <c r="R12" i="1"/>
  <c r="Q12" i="1"/>
  <c r="U11" i="1"/>
  <c r="R11" i="1"/>
  <c r="Q11" i="1"/>
  <c r="U10" i="1"/>
  <c r="R10" i="1"/>
  <c r="Q10" i="1"/>
  <c r="U9" i="1"/>
  <c r="R9" i="1"/>
  <c r="Q9" i="1"/>
  <c r="U8" i="1"/>
  <c r="R8" i="1"/>
  <c r="Q8" i="1"/>
  <c r="U7" i="1"/>
  <c r="R7" i="1"/>
  <c r="Q7" i="1"/>
  <c r="U6" i="1"/>
  <c r="R6" i="1"/>
  <c r="Q6" i="1"/>
  <c r="U5" i="1"/>
  <c r="R5" i="1"/>
  <c r="Q5" i="1"/>
  <c r="U4" i="1"/>
  <c r="R4" i="1"/>
  <c r="Q4" i="1"/>
  <c r="J21" i="1"/>
  <c r="G21" i="1"/>
  <c r="J20" i="1"/>
  <c r="G20" i="1"/>
  <c r="J19" i="1"/>
  <c r="G19" i="1"/>
  <c r="J18" i="1"/>
  <c r="G18" i="1"/>
  <c r="J17" i="1"/>
  <c r="G17" i="1"/>
  <c r="J16" i="1"/>
  <c r="G16" i="1"/>
  <c r="J15" i="1"/>
  <c r="G15" i="1"/>
  <c r="J14" i="1"/>
  <c r="G14" i="1"/>
  <c r="J13" i="1"/>
  <c r="G13" i="1"/>
  <c r="J12" i="1"/>
  <c r="G12" i="1"/>
  <c r="J11" i="1"/>
  <c r="G11" i="1"/>
  <c r="J10" i="1"/>
  <c r="G10" i="1"/>
  <c r="J9" i="1"/>
  <c r="G9" i="1"/>
  <c r="J8" i="1"/>
  <c r="G8" i="1"/>
  <c r="J7" i="1"/>
  <c r="G7" i="1"/>
  <c r="J6" i="1"/>
  <c r="G6" i="1"/>
  <c r="J5" i="1"/>
  <c r="G5" i="1"/>
  <c r="J4" i="1"/>
  <c r="G4" i="1"/>
</calcChain>
</file>

<file path=xl/sharedStrings.xml><?xml version="1.0" encoding="utf-8"?>
<sst xmlns="http://schemas.openxmlformats.org/spreadsheetml/2006/main" count="391" uniqueCount="156">
  <si>
    <t>Eindstanden derde divisies</t>
  </si>
  <si>
    <t>VV IJsselmeervogels</t>
  </si>
  <si>
    <t>FC Lisse</t>
  </si>
  <si>
    <t>Rijnsburgse Boys</t>
  </si>
  <si>
    <t>ASWH</t>
  </si>
  <si>
    <t>SVV Scheveningen</t>
  </si>
  <si>
    <t>Jong FC Volendam</t>
  </si>
  <si>
    <t>DVS '33 Ermelo</t>
  </si>
  <si>
    <t>Harkemase Boys</t>
  </si>
  <si>
    <t>Jong FC Groningen</t>
  </si>
  <si>
    <t>VVOG</t>
  </si>
  <si>
    <t>Quick Boys</t>
  </si>
  <si>
    <t>VV Capelle</t>
  </si>
  <si>
    <t>ONS Sneek</t>
  </si>
  <si>
    <t>Jong Almere City FC</t>
  </si>
  <si>
    <t>ODIN ´59</t>
  </si>
  <si>
    <t>SteDoCo</t>
  </si>
  <si>
    <t>SV Huizen</t>
  </si>
  <si>
    <t>FC Rijnvogels</t>
  </si>
  <si>
    <t>Derde Divisie A</t>
  </si>
  <si>
    <t>Derde Divisie B</t>
  </si>
  <si>
    <t>ASV De Dijk</t>
  </si>
  <si>
    <t>RKVV Westlandia</t>
  </si>
  <si>
    <t>VV Dongen</t>
  </si>
  <si>
    <t>USV Hercules</t>
  </si>
  <si>
    <t>Quick '20</t>
  </si>
  <si>
    <t>Be Quick 1887</t>
  </si>
  <si>
    <t>HSC'21</t>
  </si>
  <si>
    <t>EVV</t>
  </si>
  <si>
    <t>HBS</t>
  </si>
  <si>
    <t>OFC</t>
  </si>
  <si>
    <t>JVC Cuijk</t>
  </si>
  <si>
    <t>OJC Rosmalen</t>
  </si>
  <si>
    <t>Jong De Graafschap</t>
  </si>
  <si>
    <t>Magreb'90</t>
  </si>
  <si>
    <t>SV Juliana'31</t>
  </si>
  <si>
    <t>Jong FC Den Bosch</t>
  </si>
  <si>
    <t>UDI'19</t>
  </si>
  <si>
    <t>Jong Achilles '29</t>
  </si>
  <si>
    <t>SV Spakenburg</t>
  </si>
  <si>
    <t>VV DOVO</t>
  </si>
  <si>
    <t>Jong FC Twente</t>
  </si>
  <si>
    <t>vv Capelle</t>
  </si>
  <si>
    <t>VV Spijkenisse</t>
  </si>
  <si>
    <t>ACV</t>
  </si>
  <si>
    <t>Magreb '90</t>
  </si>
  <si>
    <t>Jong Vitesse</t>
  </si>
  <si>
    <t>VV UNA</t>
  </si>
  <si>
    <t>Quick H</t>
  </si>
  <si>
    <t>ADO'20</t>
  </si>
  <si>
    <t>Blauw Geel '38</t>
  </si>
  <si>
    <t>HBS-Craeyenhout</t>
  </si>
  <si>
    <t>Quick'20</t>
  </si>
  <si>
    <t>VV De Meern</t>
  </si>
  <si>
    <t>VV Noordwijk</t>
  </si>
  <si>
    <t>HSV Hoek</t>
  </si>
  <si>
    <t>Ajax (amateurs)</t>
  </si>
  <si>
    <t>VV Eemdijk</t>
  </si>
  <si>
    <t>VV SJC</t>
  </si>
  <si>
    <t>Achilles '29</t>
  </si>
  <si>
    <t>SV TEC</t>
  </si>
  <si>
    <t>VV GOES</t>
  </si>
  <si>
    <t>SV OSS'20</t>
  </si>
  <si>
    <t>Blauw Geel'38</t>
  </si>
  <si>
    <t>HBS Craeyenhout</t>
  </si>
  <si>
    <t>VV Sparta Nijkerk</t>
  </si>
  <si>
    <t>BVV Barendrecht</t>
  </si>
  <si>
    <t>Excelsior '31</t>
  </si>
  <si>
    <t>VVSB</t>
  </si>
  <si>
    <t>Ter Leede</t>
  </si>
  <si>
    <t>Jong ADO Den Haag</t>
  </si>
  <si>
    <t>VV Gemert</t>
  </si>
  <si>
    <t>RKVV DEM</t>
  </si>
  <si>
    <t>RKSV Groene Ster</t>
  </si>
  <si>
    <t>Quick (H)</t>
  </si>
  <si>
    <t>FC Lienden</t>
  </si>
  <si>
    <t>VV Hoogland</t>
  </si>
  <si>
    <t>Sportlust  '46</t>
  </si>
  <si>
    <t>VV Staphorst</t>
  </si>
  <si>
    <t>VV Goes</t>
  </si>
  <si>
    <t>GVV Unitas</t>
  </si>
  <si>
    <t>HVV Hollandia</t>
  </si>
  <si>
    <t>JOS Watergraafsmeer</t>
  </si>
  <si>
    <t xml:space="preserve">OFC </t>
  </si>
  <si>
    <t>GVVV</t>
  </si>
  <si>
    <t>Rijnvogels</t>
  </si>
  <si>
    <t>Sportlust'46</t>
  </si>
  <si>
    <t>DVS'33 Ermelo</t>
  </si>
  <si>
    <t>Sparta Nijkerk</t>
  </si>
  <si>
    <t>DOVO</t>
  </si>
  <si>
    <t>Staphorst</t>
  </si>
  <si>
    <t>URK</t>
  </si>
  <si>
    <t>RKAV Volendam</t>
  </si>
  <si>
    <t>VVOG Harderwijk</t>
  </si>
  <si>
    <t>Excelsior'31</t>
  </si>
  <si>
    <t>TOGB</t>
  </si>
  <si>
    <t>GVV UNitas</t>
  </si>
  <si>
    <t>VV Baronie</t>
  </si>
  <si>
    <t>IJsselmeervogels</t>
  </si>
  <si>
    <t>Genemuiden</t>
  </si>
  <si>
    <t>Eemdijk</t>
  </si>
  <si>
    <t>DEM</t>
  </si>
  <si>
    <t>Urk</t>
  </si>
  <si>
    <t>Hoogeveen</t>
  </si>
  <si>
    <t>Kampong</t>
  </si>
  <si>
    <t>ODIN'59</t>
  </si>
  <si>
    <t>TEC</t>
  </si>
  <si>
    <t>Sportlust</t>
  </si>
  <si>
    <t>Gemert</t>
  </si>
  <si>
    <t>SV Meerssen</t>
  </si>
  <si>
    <t>UNA</t>
  </si>
  <si>
    <t>Quick</t>
  </si>
  <si>
    <t>Kloetinge</t>
  </si>
  <si>
    <t>OSS'20</t>
  </si>
  <si>
    <t>AWC</t>
  </si>
  <si>
    <t>Groene Ster</t>
  </si>
  <si>
    <t>Baronie</t>
  </si>
  <si>
    <t>SC Genemuiden</t>
  </si>
  <si>
    <t>HBC</t>
  </si>
  <si>
    <t>Hercules</t>
  </si>
  <si>
    <t>Ajax (am.)</t>
  </si>
  <si>
    <t>Huizen</t>
  </si>
  <si>
    <t>Rohda Raalte</t>
  </si>
  <si>
    <t>Blauw Geel'38/Jumbo</t>
  </si>
  <si>
    <t>Hoek</t>
  </si>
  <si>
    <t>s-Gravenzande</t>
  </si>
  <si>
    <t>sv Meersen</t>
  </si>
  <si>
    <t>Kozakken Boys</t>
  </si>
  <si>
    <t>GOES</t>
  </si>
  <si>
    <t>Smitshoek</t>
  </si>
  <si>
    <t>Teams:</t>
  </si>
  <si>
    <t>gs</t>
  </si>
  <si>
    <t>w</t>
  </si>
  <si>
    <t>g</t>
  </si>
  <si>
    <t>v</t>
  </si>
  <si>
    <t>pnt</t>
  </si>
  <si>
    <t>dv</t>
  </si>
  <si>
    <t>dt</t>
  </si>
  <si>
    <t>ds</t>
  </si>
  <si>
    <t>Seizoen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</si>
  <si>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</si>
  <si>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</si>
  <si>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</si>
  <si>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</si>
  <si>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</si>
  <si>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</si>
  <si>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</si>
  <si>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</si>
  <si>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</si>
  <si>
    <t>2025/26</t>
  </si>
  <si>
    <t>Scherpenzeel</t>
  </si>
  <si>
    <t>RBC</t>
  </si>
  <si>
    <t>Zwaluwen</t>
  </si>
  <si>
    <t>Noordwijk</t>
  </si>
  <si>
    <t>Scheveningen</t>
  </si>
  <si>
    <t>sv Meerssen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</si>
</sst>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horizontal="center"/>
    </xf>
    <xf numFmtId="0" fontId="0" fillId="6" borderId="0" xfId="0" applyFill="1"/>
    <xf numFmtId="0" fontId="0" fillId="7" borderId="0" xfId="0" applyFill="1"/>
    <xf numFmtId="0" fontId="1" fillId="2" borderId="0" xfId="0" applyFont="1" applyFill="1"/>
    <xf numFmtId="0" fontId="0" fillId="8" borderId="0" xfId="0" applyFill="1"/>
    <xf numFmtId="0" fontId="1" fillId="8" borderId="0" xfId="0" applyFont="1" applyFill="1"/>
    <xf numFmtId="0" fontId="1" fillId="0" borderId="0" xfId="0" applyFont="1"/>
    <xf numFmtId="0" fontId="1" fillId="4" borderId="0" xfId="0" applyFont="1" applyFill="1"/>
    <xf numFmtId="0" fontId="1" fillId="5" borderId="0" xfId="0" applyFont="1" applyFill="1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9" borderId="0" xfId="0" applyFill="1"/>
    <xf numFmtId="0" fontId="1" fillId="9" borderId="0" xfId="0" applyFont="1" applyFill="1"/>
    <xf numFmtId="0" fontId="1" fillId="7" borderId="0" xfId="0" applyFont="1" applyFill="1"/>
    <xf numFmtId="0" fontId="1" fillId="3" borderId="0" xfId="0" applyFont="1" applyFill="1"/>
    <xf numFmtId="0" fontId="0" fillId="0" borderId="0" xfId="0" applyFill="1"/>
    <xf numFmtId="0" fontId="1" fillId="0" borderId="0" xfId="0" applyFont="1" applyFill="1"/>
    <xf numFmtId="0" fontId="0" fillId="0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A4F19-34C5-40AD-AA63-BCD04E541E95}">
  <dimension ref="A1:V342"/>
  <sheetViews>
    <sheetView tabSelected="1" topLeftCell="A57" zoomScale="111" workbookViewId="0">
      <selection activeCell="L65" sqref="L65"/>
    </sheetView>
  </sheetViews>
  <sheetFormatPr defaultRowHeight="14.4" x14ac:dyDescent="0.3"/>
  <cols>
    <col min="2" max="2" width="17.33203125" bestFit="1" customWidth="1"/>
    <col min="11" max="11" width="8.88671875" style="23"/>
    <col min="13" max="13" width="18.6640625" bestFit="1" customWidth="1"/>
  </cols>
  <sheetData>
    <row r="1" spans="1:22" x14ac:dyDescent="0.3">
      <c r="A1" t="s">
        <v>0</v>
      </c>
    </row>
    <row r="2" spans="1:22" x14ac:dyDescent="0.3">
      <c r="A2" s="27" t="s">
        <v>19</v>
      </c>
      <c r="B2" s="27"/>
      <c r="C2" s="27"/>
      <c r="D2" s="27"/>
      <c r="E2" s="27"/>
      <c r="F2" s="27"/>
      <c r="G2" s="27"/>
      <c r="H2" s="27"/>
      <c r="I2" s="27"/>
      <c r="J2" s="27"/>
      <c r="K2" s="25"/>
      <c r="M2" s="27" t="s">
        <v>20</v>
      </c>
      <c r="N2" s="27"/>
      <c r="O2" s="27"/>
      <c r="P2" s="27"/>
      <c r="Q2" s="27"/>
      <c r="R2" s="27"/>
      <c r="S2" s="27"/>
      <c r="T2" s="27"/>
      <c r="U2" s="27"/>
      <c r="V2" s="27"/>
    </row>
    <row r="3" spans="1:22" x14ac:dyDescent="0.3">
      <c r="A3" s="26" t="s">
        <v>139</v>
      </c>
      <c r="B3" s="11" t="s">
        <v>130</v>
      </c>
      <c r="C3" s="11" t="s">
        <v>131</v>
      </c>
      <c r="D3" s="11" t="s">
        <v>132</v>
      </c>
      <c r="E3" s="11" t="s">
        <v>133</v>
      </c>
      <c r="F3" s="11" t="s">
        <v>134</v>
      </c>
      <c r="G3" s="11" t="s">
        <v>135</v>
      </c>
      <c r="H3" s="11" t="s">
        <v>136</v>
      </c>
      <c r="I3" s="11" t="s">
        <v>137</v>
      </c>
      <c r="J3" s="11" t="s">
        <v>138</v>
      </c>
      <c r="K3" s="24"/>
      <c r="L3" s="24" t="s">
        <v>139</v>
      </c>
      <c r="M3" s="11" t="s">
        <v>130</v>
      </c>
      <c r="N3" s="11" t="s">
        <v>131</v>
      </c>
      <c r="O3" s="11" t="s">
        <v>132</v>
      </c>
      <c r="P3" s="11" t="s">
        <v>133</v>
      </c>
      <c r="Q3" s="11" t="s">
        <v>134</v>
      </c>
      <c r="R3" s="11" t="s">
        <v>135</v>
      </c>
      <c r="S3" s="11" t="s">
        <v>136</v>
      </c>
      <c r="T3" s="11" t="s">
        <v>137</v>
      </c>
      <c r="U3" s="11" t="s">
        <v>138</v>
      </c>
      <c r="V3" s="5"/>
    </row>
    <row r="4" spans="1:22" x14ac:dyDescent="0.3">
      <c r="A4" t="s">
        <v>140</v>
      </c>
      <c r="B4" s="1" t="s">
        <v>1</v>
      </c>
      <c r="C4" s="1">
        <v>34</v>
      </c>
      <c r="D4" s="1">
        <v>21</v>
      </c>
      <c r="E4" s="1">
        <v>7</v>
      </c>
      <c r="F4" s="1">
        <v>6</v>
      </c>
      <c r="G4" s="1">
        <f t="shared" ref="G4:G10" si="0">D4*3+E4*1</f>
        <v>70</v>
      </c>
      <c r="H4" s="1">
        <v>74</v>
      </c>
      <c r="I4" s="1">
        <v>36</v>
      </c>
      <c r="J4" s="1">
        <f t="shared" ref="J4:J21" si="1">H4-I4</f>
        <v>38</v>
      </c>
      <c r="L4" t="str">
        <f>IF(A4="","",A4)</f>
        <v>2016/17</v>
      </c>
      <c r="M4" s="1" t="s">
        <v>21</v>
      </c>
      <c r="N4" s="1">
        <v>34</v>
      </c>
      <c r="O4" s="1">
        <v>27</v>
      </c>
      <c r="P4" s="1">
        <v>2</v>
      </c>
      <c r="Q4" s="1">
        <f>N4-O4-P4</f>
        <v>5</v>
      </c>
      <c r="R4" s="1">
        <f t="shared" ref="R4:R19" si="2">O4*3+P4*1</f>
        <v>83</v>
      </c>
      <c r="S4" s="1">
        <v>91</v>
      </c>
      <c r="T4" s="1">
        <v>42</v>
      </c>
      <c r="U4" s="1">
        <f>S4-T4</f>
        <v>49</v>
      </c>
    </row>
    <row r="5" spans="1:22" x14ac:dyDescent="0.3">
      <c r="B5" s="2" t="s">
        <v>2</v>
      </c>
      <c r="C5" s="2">
        <v>34</v>
      </c>
      <c r="D5" s="2">
        <v>20</v>
      </c>
      <c r="E5" s="2">
        <v>5</v>
      </c>
      <c r="F5" s="2">
        <v>9</v>
      </c>
      <c r="G5" s="2">
        <f t="shared" si="0"/>
        <v>65</v>
      </c>
      <c r="H5" s="2">
        <v>55</v>
      </c>
      <c r="I5" s="2">
        <v>38</v>
      </c>
      <c r="J5" s="2">
        <f t="shared" si="1"/>
        <v>17</v>
      </c>
      <c r="L5" t="str">
        <f t="shared" ref="L5:L68" si="3">IF(A5="","",A5)</f>
        <v/>
      </c>
      <c r="M5" s="2" t="s">
        <v>22</v>
      </c>
      <c r="N5" s="2">
        <v>34</v>
      </c>
      <c r="O5" s="2">
        <v>23</v>
      </c>
      <c r="P5" s="2">
        <v>6</v>
      </c>
      <c r="Q5" s="2">
        <f t="shared" ref="Q5:Q21" si="4">N5-O5-P5</f>
        <v>5</v>
      </c>
      <c r="R5" s="2">
        <f>O5*3+P5*1-1</f>
        <v>74</v>
      </c>
      <c r="S5" s="2">
        <v>101</v>
      </c>
      <c r="T5" s="2">
        <v>47</v>
      </c>
      <c r="U5" s="2">
        <f t="shared" ref="U5:U21" si="5">S5-T5</f>
        <v>54</v>
      </c>
    </row>
    <row r="6" spans="1:22" x14ac:dyDescent="0.3">
      <c r="B6" s="2" t="s">
        <v>3</v>
      </c>
      <c r="C6" s="2">
        <v>34</v>
      </c>
      <c r="D6" s="2">
        <v>17</v>
      </c>
      <c r="E6" s="2">
        <v>10</v>
      </c>
      <c r="F6" s="2">
        <v>7</v>
      </c>
      <c r="G6" s="2">
        <f t="shared" si="0"/>
        <v>61</v>
      </c>
      <c r="H6" s="2">
        <v>84</v>
      </c>
      <c r="I6" s="2">
        <v>62</v>
      </c>
      <c r="J6" s="2">
        <f t="shared" si="1"/>
        <v>22</v>
      </c>
      <c r="L6" t="str">
        <f t="shared" si="3"/>
        <v/>
      </c>
      <c r="M6" s="2" t="s">
        <v>23</v>
      </c>
      <c r="N6" s="2">
        <v>34</v>
      </c>
      <c r="O6" s="2">
        <v>21</v>
      </c>
      <c r="P6" s="2">
        <v>3</v>
      </c>
      <c r="Q6" s="2">
        <f t="shared" si="4"/>
        <v>10</v>
      </c>
      <c r="R6" s="2">
        <f>O6*3+P6*1-1</f>
        <v>65</v>
      </c>
      <c r="S6" s="2">
        <v>65</v>
      </c>
      <c r="T6" s="2">
        <v>46</v>
      </c>
      <c r="U6" s="2">
        <f t="shared" si="5"/>
        <v>19</v>
      </c>
    </row>
    <row r="7" spans="1:22" x14ac:dyDescent="0.3">
      <c r="B7" t="s">
        <v>4</v>
      </c>
      <c r="C7">
        <v>34</v>
      </c>
      <c r="D7">
        <v>17</v>
      </c>
      <c r="E7">
        <v>7</v>
      </c>
      <c r="F7">
        <v>10</v>
      </c>
      <c r="G7">
        <f t="shared" si="0"/>
        <v>58</v>
      </c>
      <c r="H7">
        <v>64</v>
      </c>
      <c r="I7">
        <v>53</v>
      </c>
      <c r="J7">
        <f t="shared" si="1"/>
        <v>11</v>
      </c>
      <c r="L7" t="str">
        <f t="shared" si="3"/>
        <v/>
      </c>
      <c r="M7" s="2" t="s">
        <v>24</v>
      </c>
      <c r="N7" s="2">
        <v>34</v>
      </c>
      <c r="O7" s="2">
        <v>18</v>
      </c>
      <c r="P7" s="2">
        <v>7</v>
      </c>
      <c r="Q7" s="2">
        <f t="shared" si="4"/>
        <v>9</v>
      </c>
      <c r="R7" s="2">
        <f>O7*3+P7*1-1</f>
        <v>60</v>
      </c>
      <c r="S7" s="2">
        <v>64</v>
      </c>
      <c r="T7" s="2">
        <v>48</v>
      </c>
      <c r="U7" s="2">
        <f t="shared" si="5"/>
        <v>16</v>
      </c>
    </row>
    <row r="8" spans="1:22" x14ac:dyDescent="0.3">
      <c r="B8" t="s">
        <v>5</v>
      </c>
      <c r="C8">
        <v>34</v>
      </c>
      <c r="D8">
        <v>16</v>
      </c>
      <c r="E8">
        <v>8</v>
      </c>
      <c r="F8">
        <v>10</v>
      </c>
      <c r="G8">
        <f t="shared" si="0"/>
        <v>56</v>
      </c>
      <c r="H8">
        <v>54</v>
      </c>
      <c r="I8">
        <v>48</v>
      </c>
      <c r="J8">
        <f t="shared" si="1"/>
        <v>6</v>
      </c>
      <c r="L8" t="str">
        <f t="shared" si="3"/>
        <v/>
      </c>
      <c r="M8" t="s">
        <v>25</v>
      </c>
      <c r="N8">
        <v>34</v>
      </c>
      <c r="O8">
        <v>16</v>
      </c>
      <c r="P8">
        <v>7</v>
      </c>
      <c r="Q8">
        <f t="shared" si="4"/>
        <v>11</v>
      </c>
      <c r="R8">
        <f>O8*3+P8*1-1</f>
        <v>54</v>
      </c>
      <c r="S8">
        <v>67</v>
      </c>
      <c r="T8">
        <v>57</v>
      </c>
      <c r="U8">
        <f t="shared" si="5"/>
        <v>10</v>
      </c>
    </row>
    <row r="9" spans="1:22" x14ac:dyDescent="0.3">
      <c r="B9" t="s">
        <v>6</v>
      </c>
      <c r="C9">
        <v>34</v>
      </c>
      <c r="D9">
        <v>16</v>
      </c>
      <c r="E9">
        <v>8</v>
      </c>
      <c r="F9">
        <v>10</v>
      </c>
      <c r="G9">
        <f t="shared" si="0"/>
        <v>56</v>
      </c>
      <c r="H9">
        <v>60</v>
      </c>
      <c r="I9">
        <v>56</v>
      </c>
      <c r="J9">
        <f t="shared" si="1"/>
        <v>4</v>
      </c>
      <c r="L9" t="str">
        <f t="shared" si="3"/>
        <v/>
      </c>
      <c r="M9" t="s">
        <v>26</v>
      </c>
      <c r="N9">
        <v>34</v>
      </c>
      <c r="O9">
        <v>17</v>
      </c>
      <c r="P9">
        <v>3</v>
      </c>
      <c r="Q9">
        <f t="shared" si="4"/>
        <v>14</v>
      </c>
      <c r="R9">
        <f>O9*3+P9*1-1</f>
        <v>53</v>
      </c>
      <c r="S9">
        <v>74</v>
      </c>
      <c r="T9">
        <v>61</v>
      </c>
      <c r="U9">
        <f t="shared" si="5"/>
        <v>13</v>
      </c>
    </row>
    <row r="10" spans="1:22" x14ac:dyDescent="0.3">
      <c r="B10" t="s">
        <v>7</v>
      </c>
      <c r="C10">
        <v>34</v>
      </c>
      <c r="D10">
        <v>13</v>
      </c>
      <c r="E10">
        <v>9</v>
      </c>
      <c r="F10">
        <v>12</v>
      </c>
      <c r="G10">
        <f t="shared" si="0"/>
        <v>48</v>
      </c>
      <c r="H10">
        <v>54</v>
      </c>
      <c r="I10">
        <v>49</v>
      </c>
      <c r="J10">
        <f t="shared" si="1"/>
        <v>5</v>
      </c>
      <c r="L10" t="str">
        <f t="shared" si="3"/>
        <v/>
      </c>
      <c r="M10" t="s">
        <v>27</v>
      </c>
      <c r="N10">
        <v>34</v>
      </c>
      <c r="O10">
        <v>14</v>
      </c>
      <c r="P10">
        <v>6</v>
      </c>
      <c r="Q10">
        <f t="shared" si="4"/>
        <v>14</v>
      </c>
      <c r="R10">
        <f t="shared" si="2"/>
        <v>48</v>
      </c>
      <c r="S10">
        <v>73</v>
      </c>
      <c r="T10">
        <v>69</v>
      </c>
      <c r="U10">
        <f t="shared" si="5"/>
        <v>4</v>
      </c>
    </row>
    <row r="11" spans="1:22" x14ac:dyDescent="0.3">
      <c r="B11" s="2" t="s">
        <v>8</v>
      </c>
      <c r="C11" s="2">
        <v>34</v>
      </c>
      <c r="D11" s="2">
        <v>13</v>
      </c>
      <c r="E11" s="2">
        <v>7</v>
      </c>
      <c r="F11" s="2">
        <v>14</v>
      </c>
      <c r="G11" s="2">
        <f>D11*3+E11*1-1</f>
        <v>45</v>
      </c>
      <c r="H11" s="2">
        <v>55</v>
      </c>
      <c r="I11" s="2">
        <v>60</v>
      </c>
      <c r="J11" s="2">
        <f t="shared" si="1"/>
        <v>-5</v>
      </c>
      <c r="L11" t="str">
        <f t="shared" si="3"/>
        <v/>
      </c>
      <c r="M11" t="s">
        <v>28</v>
      </c>
      <c r="N11">
        <v>34</v>
      </c>
      <c r="O11">
        <v>14</v>
      </c>
      <c r="P11">
        <v>6</v>
      </c>
      <c r="Q11">
        <f t="shared" si="4"/>
        <v>14</v>
      </c>
      <c r="R11">
        <f>O11*3+P11*1-1</f>
        <v>47</v>
      </c>
      <c r="S11">
        <v>57</v>
      </c>
      <c r="T11">
        <v>49</v>
      </c>
      <c r="U11">
        <f t="shared" si="5"/>
        <v>8</v>
      </c>
    </row>
    <row r="12" spans="1:22" x14ac:dyDescent="0.3">
      <c r="B12" t="s">
        <v>9</v>
      </c>
      <c r="C12">
        <v>34</v>
      </c>
      <c r="D12">
        <v>11</v>
      </c>
      <c r="E12">
        <v>12</v>
      </c>
      <c r="F12">
        <v>11</v>
      </c>
      <c r="G12">
        <f>D12*3+E12*1</f>
        <v>45</v>
      </c>
      <c r="H12">
        <v>48</v>
      </c>
      <c r="I12">
        <v>46</v>
      </c>
      <c r="J12">
        <f t="shared" si="1"/>
        <v>2</v>
      </c>
      <c r="L12" t="str">
        <f t="shared" si="3"/>
        <v/>
      </c>
      <c r="M12" t="s">
        <v>29</v>
      </c>
      <c r="N12">
        <v>34</v>
      </c>
      <c r="O12">
        <v>15</v>
      </c>
      <c r="P12">
        <v>2</v>
      </c>
      <c r="Q12">
        <f t="shared" si="4"/>
        <v>17</v>
      </c>
      <c r="R12">
        <f>O12*3+P12*1-1</f>
        <v>46</v>
      </c>
      <c r="S12">
        <v>55</v>
      </c>
      <c r="T12">
        <v>62</v>
      </c>
      <c r="U12">
        <f t="shared" si="5"/>
        <v>-7</v>
      </c>
    </row>
    <row r="13" spans="1:22" x14ac:dyDescent="0.3">
      <c r="B13" t="s">
        <v>10</v>
      </c>
      <c r="C13">
        <v>34</v>
      </c>
      <c r="D13">
        <v>12</v>
      </c>
      <c r="E13">
        <v>8</v>
      </c>
      <c r="F13">
        <v>14</v>
      </c>
      <c r="G13">
        <f>D13*3+E13*1</f>
        <v>44</v>
      </c>
      <c r="H13">
        <v>49</v>
      </c>
      <c r="I13">
        <v>55</v>
      </c>
      <c r="J13">
        <f t="shared" si="1"/>
        <v>-6</v>
      </c>
      <c r="L13" t="str">
        <f t="shared" si="3"/>
        <v/>
      </c>
      <c r="M13" t="s">
        <v>30</v>
      </c>
      <c r="N13">
        <v>34</v>
      </c>
      <c r="O13">
        <v>12</v>
      </c>
      <c r="P13">
        <v>8</v>
      </c>
      <c r="Q13">
        <f t="shared" si="4"/>
        <v>14</v>
      </c>
      <c r="R13">
        <f t="shared" si="2"/>
        <v>44</v>
      </c>
      <c r="S13">
        <v>53</v>
      </c>
      <c r="T13">
        <v>62</v>
      </c>
      <c r="U13">
        <f t="shared" si="5"/>
        <v>-9</v>
      </c>
    </row>
    <row r="14" spans="1:22" x14ac:dyDescent="0.3">
      <c r="B14" t="s">
        <v>11</v>
      </c>
      <c r="C14">
        <v>34</v>
      </c>
      <c r="D14">
        <v>11</v>
      </c>
      <c r="E14">
        <v>10</v>
      </c>
      <c r="F14">
        <v>13</v>
      </c>
      <c r="G14">
        <f>D14*3+E14*1</f>
        <v>43</v>
      </c>
      <c r="H14">
        <v>47</v>
      </c>
      <c r="I14">
        <v>54</v>
      </c>
      <c r="J14">
        <f t="shared" si="1"/>
        <v>-7</v>
      </c>
      <c r="L14" t="str">
        <f t="shared" si="3"/>
        <v/>
      </c>
      <c r="M14" t="s">
        <v>31</v>
      </c>
      <c r="N14">
        <v>34</v>
      </c>
      <c r="O14">
        <v>12</v>
      </c>
      <c r="P14">
        <v>8</v>
      </c>
      <c r="Q14">
        <f t="shared" si="4"/>
        <v>14</v>
      </c>
      <c r="R14">
        <f t="shared" si="2"/>
        <v>44</v>
      </c>
      <c r="S14">
        <v>48</v>
      </c>
      <c r="T14">
        <v>58</v>
      </c>
      <c r="U14">
        <f t="shared" si="5"/>
        <v>-10</v>
      </c>
    </row>
    <row r="15" spans="1:22" x14ac:dyDescent="0.3">
      <c r="B15" t="s">
        <v>12</v>
      </c>
      <c r="C15">
        <v>34</v>
      </c>
      <c r="D15">
        <v>11</v>
      </c>
      <c r="E15">
        <v>8</v>
      </c>
      <c r="F15">
        <v>15</v>
      </c>
      <c r="G15">
        <f>D15*3+E15*1</f>
        <v>41</v>
      </c>
      <c r="H15">
        <v>42</v>
      </c>
      <c r="I15">
        <v>52</v>
      </c>
      <c r="J15">
        <f t="shared" si="1"/>
        <v>-10</v>
      </c>
      <c r="L15" t="str">
        <f t="shared" si="3"/>
        <v/>
      </c>
      <c r="M15" t="s">
        <v>32</v>
      </c>
      <c r="N15">
        <v>34</v>
      </c>
      <c r="O15">
        <v>11</v>
      </c>
      <c r="P15">
        <v>8</v>
      </c>
      <c r="Q15">
        <f t="shared" si="4"/>
        <v>15</v>
      </c>
      <c r="R15">
        <f>O15*3+P15*1-1</f>
        <v>40</v>
      </c>
      <c r="S15">
        <v>47</v>
      </c>
      <c r="T15">
        <v>69</v>
      </c>
      <c r="U15">
        <f t="shared" si="5"/>
        <v>-22</v>
      </c>
    </row>
    <row r="16" spans="1:22" x14ac:dyDescent="0.3">
      <c r="B16" t="s">
        <v>13</v>
      </c>
      <c r="C16">
        <v>34</v>
      </c>
      <c r="D16">
        <v>10</v>
      </c>
      <c r="E16">
        <v>10</v>
      </c>
      <c r="F16">
        <v>14</v>
      </c>
      <c r="G16">
        <f>D16*3+E16*1</f>
        <v>40</v>
      </c>
      <c r="H16">
        <v>51</v>
      </c>
      <c r="I16">
        <v>60</v>
      </c>
      <c r="J16">
        <f t="shared" si="1"/>
        <v>-9</v>
      </c>
      <c r="L16" t="str">
        <f t="shared" si="3"/>
        <v/>
      </c>
      <c r="M16" t="s">
        <v>33</v>
      </c>
      <c r="N16">
        <v>34</v>
      </c>
      <c r="O16">
        <v>10</v>
      </c>
      <c r="P16">
        <v>6</v>
      </c>
      <c r="Q16">
        <f t="shared" si="4"/>
        <v>18</v>
      </c>
      <c r="R16">
        <f t="shared" si="2"/>
        <v>36</v>
      </c>
      <c r="S16">
        <v>66</v>
      </c>
      <c r="T16">
        <v>79</v>
      </c>
      <c r="U16">
        <f t="shared" si="5"/>
        <v>-13</v>
      </c>
    </row>
    <row r="17" spans="1:21" x14ac:dyDescent="0.3">
      <c r="B17" t="s">
        <v>14</v>
      </c>
      <c r="C17">
        <v>34</v>
      </c>
      <c r="D17">
        <v>11</v>
      </c>
      <c r="E17">
        <v>6</v>
      </c>
      <c r="F17">
        <v>17</v>
      </c>
      <c r="G17">
        <f>D17*3+E17*1-1</f>
        <v>38</v>
      </c>
      <c r="H17">
        <v>63</v>
      </c>
      <c r="I17">
        <v>61</v>
      </c>
      <c r="J17">
        <f t="shared" si="1"/>
        <v>2</v>
      </c>
      <c r="L17" t="str">
        <f t="shared" si="3"/>
        <v/>
      </c>
      <c r="M17" t="s">
        <v>34</v>
      </c>
      <c r="N17">
        <v>34</v>
      </c>
      <c r="O17">
        <v>11</v>
      </c>
      <c r="P17">
        <v>6</v>
      </c>
      <c r="Q17">
        <f t="shared" si="4"/>
        <v>17</v>
      </c>
      <c r="R17">
        <f>O17*3+P17*1-1-3</f>
        <v>35</v>
      </c>
      <c r="S17">
        <v>53</v>
      </c>
      <c r="T17">
        <v>78</v>
      </c>
      <c r="U17">
        <f t="shared" si="5"/>
        <v>-25</v>
      </c>
    </row>
    <row r="18" spans="1:21" x14ac:dyDescent="0.3">
      <c r="B18" s="3" t="s">
        <v>15</v>
      </c>
      <c r="C18" s="3">
        <v>34</v>
      </c>
      <c r="D18" s="3">
        <v>10</v>
      </c>
      <c r="E18" s="3">
        <v>6</v>
      </c>
      <c r="F18" s="3">
        <v>18</v>
      </c>
      <c r="G18" s="3">
        <f>D18*3+E18*1-1</f>
        <v>35</v>
      </c>
      <c r="H18" s="3">
        <v>58</v>
      </c>
      <c r="I18" s="3">
        <v>63</v>
      </c>
      <c r="J18" s="3">
        <f t="shared" si="1"/>
        <v>-5</v>
      </c>
      <c r="L18" t="str">
        <f t="shared" si="3"/>
        <v/>
      </c>
      <c r="M18" s="3" t="s">
        <v>35</v>
      </c>
      <c r="N18" s="3">
        <v>34</v>
      </c>
      <c r="O18" s="3">
        <v>10</v>
      </c>
      <c r="P18" s="3">
        <v>5</v>
      </c>
      <c r="Q18" s="3">
        <f t="shared" si="4"/>
        <v>19</v>
      </c>
      <c r="R18" s="3">
        <f>O18*3+P18*1-1</f>
        <v>34</v>
      </c>
      <c r="S18" s="3">
        <v>56</v>
      </c>
      <c r="T18" s="3">
        <v>68</v>
      </c>
      <c r="U18" s="3">
        <f t="shared" si="5"/>
        <v>-12</v>
      </c>
    </row>
    <row r="19" spans="1:21" x14ac:dyDescent="0.3">
      <c r="B19" s="3" t="s">
        <v>16</v>
      </c>
      <c r="C19" s="3">
        <v>34</v>
      </c>
      <c r="D19" s="3">
        <v>9</v>
      </c>
      <c r="E19" s="3">
        <v>8</v>
      </c>
      <c r="F19" s="3">
        <v>17</v>
      </c>
      <c r="G19" s="3">
        <f>D19*3+E19*1</f>
        <v>35</v>
      </c>
      <c r="H19" s="3">
        <v>46</v>
      </c>
      <c r="I19" s="3">
        <v>69</v>
      </c>
      <c r="J19" s="3">
        <f t="shared" si="1"/>
        <v>-23</v>
      </c>
      <c r="L19" t="str">
        <f t="shared" si="3"/>
        <v/>
      </c>
      <c r="M19" s="3" t="s">
        <v>36</v>
      </c>
      <c r="N19" s="3">
        <v>34</v>
      </c>
      <c r="O19" s="3">
        <v>7</v>
      </c>
      <c r="P19" s="3">
        <v>9</v>
      </c>
      <c r="Q19" s="3">
        <f t="shared" si="4"/>
        <v>18</v>
      </c>
      <c r="R19" s="3">
        <f t="shared" si="2"/>
        <v>30</v>
      </c>
      <c r="S19" s="3">
        <v>45</v>
      </c>
      <c r="T19" s="3">
        <v>61</v>
      </c>
      <c r="U19" s="3">
        <f t="shared" si="5"/>
        <v>-16</v>
      </c>
    </row>
    <row r="20" spans="1:21" x14ac:dyDescent="0.3">
      <c r="B20" s="4" t="s">
        <v>17</v>
      </c>
      <c r="C20" s="4">
        <v>34</v>
      </c>
      <c r="D20" s="4">
        <v>9</v>
      </c>
      <c r="E20" s="4">
        <v>6</v>
      </c>
      <c r="F20" s="4">
        <v>19</v>
      </c>
      <c r="G20" s="4">
        <f>D20*3+E20*1</f>
        <v>33</v>
      </c>
      <c r="H20" s="4">
        <v>38</v>
      </c>
      <c r="I20" s="4">
        <v>57</v>
      </c>
      <c r="J20" s="4">
        <f t="shared" si="1"/>
        <v>-19</v>
      </c>
      <c r="L20" t="str">
        <f t="shared" si="3"/>
        <v/>
      </c>
      <c r="M20" s="4" t="s">
        <v>37</v>
      </c>
      <c r="N20" s="4">
        <v>34</v>
      </c>
      <c r="O20" s="4">
        <v>8</v>
      </c>
      <c r="P20" s="4">
        <v>7</v>
      </c>
      <c r="Q20" s="4">
        <f t="shared" si="4"/>
        <v>19</v>
      </c>
      <c r="R20" s="4">
        <f>O20*3+P20*1-1</f>
        <v>30</v>
      </c>
      <c r="S20" s="4">
        <v>45</v>
      </c>
      <c r="T20" s="4">
        <v>80</v>
      </c>
      <c r="U20" s="4">
        <f t="shared" si="5"/>
        <v>-35</v>
      </c>
    </row>
    <row r="21" spans="1:21" x14ac:dyDescent="0.3">
      <c r="B21" s="4" t="s">
        <v>18</v>
      </c>
      <c r="C21" s="4">
        <v>34</v>
      </c>
      <c r="D21" s="4">
        <v>10</v>
      </c>
      <c r="E21" s="4">
        <v>3</v>
      </c>
      <c r="F21" s="4">
        <v>21</v>
      </c>
      <c r="G21" s="4">
        <f>D21*3+E21*1</f>
        <v>33</v>
      </c>
      <c r="H21" s="4">
        <v>55</v>
      </c>
      <c r="I21" s="4">
        <v>78</v>
      </c>
      <c r="J21" s="4">
        <f t="shared" si="1"/>
        <v>-23</v>
      </c>
      <c r="L21" t="str">
        <f t="shared" si="3"/>
        <v/>
      </c>
      <c r="M21" s="4" t="s">
        <v>38</v>
      </c>
      <c r="N21" s="4">
        <v>34</v>
      </c>
      <c r="O21" s="4">
        <v>7</v>
      </c>
      <c r="P21" s="4">
        <v>7</v>
      </c>
      <c r="Q21" s="4">
        <f t="shared" si="4"/>
        <v>20</v>
      </c>
      <c r="R21" s="4">
        <f>O21*3+P21*1-1</f>
        <v>27</v>
      </c>
      <c r="S21" s="4">
        <v>58</v>
      </c>
      <c r="T21" s="4">
        <v>82</v>
      </c>
      <c r="U21" s="4">
        <f t="shared" si="5"/>
        <v>-24</v>
      </c>
    </row>
    <row r="22" spans="1:21" x14ac:dyDescent="0.3">
      <c r="L22" t="str">
        <f t="shared" si="3"/>
        <v/>
      </c>
    </row>
    <row r="23" spans="1:21" x14ac:dyDescent="0.3">
      <c r="L23" t="str">
        <f t="shared" si="3"/>
        <v/>
      </c>
    </row>
    <row r="24" spans="1:21" x14ac:dyDescent="0.3">
      <c r="A24" t="s">
        <v>141</v>
      </c>
      <c r="B24" s="1" t="s">
        <v>39</v>
      </c>
      <c r="C24" s="1">
        <v>34</v>
      </c>
      <c r="D24" s="1">
        <v>22</v>
      </c>
      <c r="E24" s="1">
        <v>5</v>
      </c>
      <c r="F24" s="1">
        <v>7</v>
      </c>
      <c r="G24" s="1">
        <f>D24*3+E24</f>
        <v>71</v>
      </c>
      <c r="H24" s="1">
        <v>68</v>
      </c>
      <c r="I24" s="1">
        <v>32</v>
      </c>
      <c r="J24" s="1">
        <f>H24-I24</f>
        <v>36</v>
      </c>
      <c r="L24" t="str">
        <f t="shared" si="3"/>
        <v>2017/18</v>
      </c>
      <c r="M24" s="1" t="s">
        <v>46</v>
      </c>
      <c r="N24" s="1">
        <v>34</v>
      </c>
      <c r="O24" s="1">
        <v>23</v>
      </c>
      <c r="P24" s="1">
        <v>6</v>
      </c>
      <c r="Q24" s="1">
        <f>N24-O24-P24</f>
        <v>5</v>
      </c>
      <c r="R24" s="1">
        <f t="shared" ref="R24:R41" si="6">O24*3+P24*1</f>
        <v>75</v>
      </c>
      <c r="S24" s="1">
        <v>96</v>
      </c>
      <c r="T24" s="1">
        <v>36</v>
      </c>
      <c r="U24" s="1">
        <f>S24-T24</f>
        <v>60</v>
      </c>
    </row>
    <row r="25" spans="1:21" x14ac:dyDescent="0.3">
      <c r="B25" s="6" t="s">
        <v>5</v>
      </c>
      <c r="C25" s="6">
        <v>34</v>
      </c>
      <c r="D25" s="6">
        <v>20</v>
      </c>
      <c r="E25" s="6">
        <v>5</v>
      </c>
      <c r="F25" s="6">
        <v>9</v>
      </c>
      <c r="G25" s="6">
        <f t="shared" ref="G25:G40" si="7">D25*3+E25</f>
        <v>65</v>
      </c>
      <c r="H25" s="6">
        <v>68</v>
      </c>
      <c r="I25" s="6">
        <v>44</v>
      </c>
      <c r="J25" s="6">
        <f t="shared" ref="J25:J41" si="8">H25-I25</f>
        <v>24</v>
      </c>
      <c r="L25" t="str">
        <f t="shared" si="3"/>
        <v/>
      </c>
      <c r="M25" s="2" t="s">
        <v>47</v>
      </c>
      <c r="N25" s="2">
        <v>34</v>
      </c>
      <c r="O25" s="2">
        <v>22</v>
      </c>
      <c r="P25" s="2">
        <v>5</v>
      </c>
      <c r="Q25" s="2">
        <f t="shared" ref="Q25:Q41" si="9">N25-O25-P25</f>
        <v>7</v>
      </c>
      <c r="R25" s="2">
        <f t="shared" si="6"/>
        <v>71</v>
      </c>
      <c r="S25" s="2">
        <v>74</v>
      </c>
      <c r="T25" s="2">
        <v>38</v>
      </c>
      <c r="U25" s="2">
        <f t="shared" ref="U25:U41" si="10">S25-T25</f>
        <v>36</v>
      </c>
    </row>
    <row r="26" spans="1:21" x14ac:dyDescent="0.3">
      <c r="B26" t="s">
        <v>7</v>
      </c>
      <c r="C26">
        <v>34</v>
      </c>
      <c r="D26">
        <v>19</v>
      </c>
      <c r="E26">
        <v>5</v>
      </c>
      <c r="F26">
        <v>10</v>
      </c>
      <c r="G26">
        <f t="shared" si="7"/>
        <v>62</v>
      </c>
      <c r="H26">
        <v>74</v>
      </c>
      <c r="I26">
        <v>37</v>
      </c>
      <c r="J26">
        <f t="shared" si="8"/>
        <v>37</v>
      </c>
      <c r="L26" t="str">
        <f t="shared" si="3"/>
        <v/>
      </c>
      <c r="M26" s="2" t="s">
        <v>48</v>
      </c>
      <c r="N26" s="2">
        <v>34</v>
      </c>
      <c r="O26" s="2">
        <v>18</v>
      </c>
      <c r="P26" s="2">
        <v>9</v>
      </c>
      <c r="Q26" s="2">
        <f t="shared" si="9"/>
        <v>7</v>
      </c>
      <c r="R26" s="2">
        <f t="shared" si="6"/>
        <v>63</v>
      </c>
      <c r="S26" s="2">
        <v>74</v>
      </c>
      <c r="T26" s="2">
        <v>58</v>
      </c>
      <c r="U26" s="2">
        <f t="shared" si="10"/>
        <v>16</v>
      </c>
    </row>
    <row r="27" spans="1:21" x14ac:dyDescent="0.3">
      <c r="B27" s="6" t="s">
        <v>14</v>
      </c>
      <c r="C27" s="6">
        <v>34</v>
      </c>
      <c r="D27" s="6">
        <v>18</v>
      </c>
      <c r="E27" s="6">
        <v>7</v>
      </c>
      <c r="F27" s="6">
        <v>9</v>
      </c>
      <c r="G27" s="6">
        <f t="shared" si="7"/>
        <v>61</v>
      </c>
      <c r="H27" s="6">
        <v>73</v>
      </c>
      <c r="I27" s="6">
        <v>54</v>
      </c>
      <c r="J27" s="6">
        <f t="shared" si="8"/>
        <v>19</v>
      </c>
      <c r="L27" t="str">
        <f t="shared" si="3"/>
        <v/>
      </c>
      <c r="M27" t="s">
        <v>23</v>
      </c>
      <c r="N27">
        <v>34</v>
      </c>
      <c r="O27">
        <v>17</v>
      </c>
      <c r="P27">
        <v>4</v>
      </c>
      <c r="Q27">
        <f t="shared" si="9"/>
        <v>13</v>
      </c>
      <c r="R27">
        <f t="shared" si="6"/>
        <v>55</v>
      </c>
      <c r="S27">
        <v>61</v>
      </c>
      <c r="T27">
        <v>65</v>
      </c>
      <c r="U27">
        <f t="shared" si="10"/>
        <v>-4</v>
      </c>
    </row>
    <row r="28" spans="1:21" x14ac:dyDescent="0.3">
      <c r="B28" t="s">
        <v>9</v>
      </c>
      <c r="C28">
        <v>34</v>
      </c>
      <c r="D28">
        <v>17</v>
      </c>
      <c r="E28">
        <v>7</v>
      </c>
      <c r="F28">
        <v>10</v>
      </c>
      <c r="G28">
        <f t="shared" si="7"/>
        <v>58</v>
      </c>
      <c r="H28">
        <v>72</v>
      </c>
      <c r="I28">
        <v>34</v>
      </c>
      <c r="J28">
        <f t="shared" si="8"/>
        <v>38</v>
      </c>
      <c r="L28" t="str">
        <f t="shared" si="3"/>
        <v/>
      </c>
      <c r="M28" t="s">
        <v>22</v>
      </c>
      <c r="N28">
        <v>34</v>
      </c>
      <c r="O28">
        <v>17</v>
      </c>
      <c r="P28">
        <v>3</v>
      </c>
      <c r="Q28">
        <f t="shared" si="9"/>
        <v>14</v>
      </c>
      <c r="R28">
        <f t="shared" si="6"/>
        <v>54</v>
      </c>
      <c r="S28">
        <v>77</v>
      </c>
      <c r="T28">
        <v>74</v>
      </c>
      <c r="U28">
        <f t="shared" si="10"/>
        <v>3</v>
      </c>
    </row>
    <row r="29" spans="1:21" x14ac:dyDescent="0.3">
      <c r="B29" t="s">
        <v>11</v>
      </c>
      <c r="C29">
        <v>34</v>
      </c>
      <c r="D29">
        <v>18</v>
      </c>
      <c r="E29">
        <v>4</v>
      </c>
      <c r="F29">
        <v>12</v>
      </c>
      <c r="G29">
        <f t="shared" si="7"/>
        <v>58</v>
      </c>
      <c r="H29">
        <v>63</v>
      </c>
      <c r="I29">
        <v>45</v>
      </c>
      <c r="J29">
        <f t="shared" si="8"/>
        <v>18</v>
      </c>
      <c r="L29" t="str">
        <f t="shared" si="3"/>
        <v/>
      </c>
      <c r="M29" t="s">
        <v>30</v>
      </c>
      <c r="N29">
        <v>34</v>
      </c>
      <c r="O29">
        <v>14</v>
      </c>
      <c r="P29">
        <v>11</v>
      </c>
      <c r="Q29">
        <f t="shared" si="9"/>
        <v>9</v>
      </c>
      <c r="R29">
        <f>O29*3+P29*1-1</f>
        <v>52</v>
      </c>
      <c r="S29">
        <v>64</v>
      </c>
      <c r="T29">
        <v>47</v>
      </c>
      <c r="U29">
        <f t="shared" si="10"/>
        <v>17</v>
      </c>
    </row>
    <row r="30" spans="1:21" x14ac:dyDescent="0.3">
      <c r="B30" s="6" t="s">
        <v>6</v>
      </c>
      <c r="C30" s="6">
        <v>34</v>
      </c>
      <c r="D30" s="6">
        <v>18</v>
      </c>
      <c r="E30" s="6">
        <v>2</v>
      </c>
      <c r="F30" s="6">
        <v>14</v>
      </c>
      <c r="G30" s="6">
        <f t="shared" si="7"/>
        <v>56</v>
      </c>
      <c r="H30" s="6">
        <v>60</v>
      </c>
      <c r="I30" s="6">
        <v>48</v>
      </c>
      <c r="J30" s="6">
        <f t="shared" si="8"/>
        <v>12</v>
      </c>
      <c r="L30" t="str">
        <f t="shared" si="3"/>
        <v/>
      </c>
      <c r="M30" t="s">
        <v>49</v>
      </c>
      <c r="N30">
        <v>34</v>
      </c>
      <c r="O30">
        <v>14</v>
      </c>
      <c r="P30">
        <v>10</v>
      </c>
      <c r="Q30">
        <f t="shared" si="9"/>
        <v>10</v>
      </c>
      <c r="R30">
        <f t="shared" si="6"/>
        <v>52</v>
      </c>
      <c r="S30">
        <v>76</v>
      </c>
      <c r="T30">
        <v>70</v>
      </c>
      <c r="U30">
        <f t="shared" si="10"/>
        <v>6</v>
      </c>
    </row>
    <row r="31" spans="1:21" x14ac:dyDescent="0.3">
      <c r="B31" t="s">
        <v>15</v>
      </c>
      <c r="C31">
        <v>34</v>
      </c>
      <c r="D31">
        <v>14</v>
      </c>
      <c r="E31">
        <v>7</v>
      </c>
      <c r="F31">
        <v>13</v>
      </c>
      <c r="G31">
        <f t="shared" si="7"/>
        <v>49</v>
      </c>
      <c r="H31">
        <v>56</v>
      </c>
      <c r="I31">
        <v>51</v>
      </c>
      <c r="J31">
        <f t="shared" si="8"/>
        <v>5</v>
      </c>
      <c r="L31" t="str">
        <f t="shared" si="3"/>
        <v/>
      </c>
      <c r="M31" s="2" t="s">
        <v>31</v>
      </c>
      <c r="N31" s="2">
        <v>34</v>
      </c>
      <c r="O31" s="2">
        <v>15</v>
      </c>
      <c r="P31" s="2">
        <v>5</v>
      </c>
      <c r="Q31" s="2">
        <f t="shared" si="9"/>
        <v>14</v>
      </c>
      <c r="R31" s="2">
        <f t="shared" si="6"/>
        <v>50</v>
      </c>
      <c r="S31" s="2">
        <v>60</v>
      </c>
      <c r="T31" s="2">
        <v>58</v>
      </c>
      <c r="U31" s="2">
        <f t="shared" si="10"/>
        <v>2</v>
      </c>
    </row>
    <row r="32" spans="1:21" x14ac:dyDescent="0.3">
      <c r="B32" t="s">
        <v>40</v>
      </c>
      <c r="C32">
        <v>34</v>
      </c>
      <c r="D32">
        <v>13</v>
      </c>
      <c r="E32">
        <v>10</v>
      </c>
      <c r="F32">
        <v>11</v>
      </c>
      <c r="G32">
        <f t="shared" si="7"/>
        <v>49</v>
      </c>
      <c r="H32">
        <v>54</v>
      </c>
      <c r="I32">
        <v>52</v>
      </c>
      <c r="J32">
        <f t="shared" si="8"/>
        <v>2</v>
      </c>
      <c r="L32" t="str">
        <f t="shared" si="3"/>
        <v/>
      </c>
      <c r="M32" t="s">
        <v>24</v>
      </c>
      <c r="N32">
        <v>34</v>
      </c>
      <c r="O32">
        <v>14</v>
      </c>
      <c r="P32">
        <v>7</v>
      </c>
      <c r="Q32">
        <f t="shared" si="9"/>
        <v>13</v>
      </c>
      <c r="R32">
        <f t="shared" si="6"/>
        <v>49</v>
      </c>
      <c r="S32">
        <v>63</v>
      </c>
      <c r="T32">
        <v>59</v>
      </c>
      <c r="U32">
        <f t="shared" si="10"/>
        <v>4</v>
      </c>
    </row>
    <row r="33" spans="1:21" x14ac:dyDescent="0.3">
      <c r="B33" t="s">
        <v>41</v>
      </c>
      <c r="C33">
        <v>34</v>
      </c>
      <c r="D33">
        <v>14</v>
      </c>
      <c r="E33">
        <v>6</v>
      </c>
      <c r="F33">
        <v>14</v>
      </c>
      <c r="G33">
        <f t="shared" si="7"/>
        <v>48</v>
      </c>
      <c r="H33">
        <v>52</v>
      </c>
      <c r="I33">
        <v>45</v>
      </c>
      <c r="J33">
        <f t="shared" si="8"/>
        <v>7</v>
      </c>
      <c r="L33" t="str">
        <f t="shared" si="3"/>
        <v/>
      </c>
      <c r="M33" t="s">
        <v>50</v>
      </c>
      <c r="N33">
        <v>34</v>
      </c>
      <c r="O33">
        <v>14</v>
      </c>
      <c r="P33">
        <v>5</v>
      </c>
      <c r="Q33">
        <f t="shared" si="9"/>
        <v>15</v>
      </c>
      <c r="R33">
        <f t="shared" si="6"/>
        <v>47</v>
      </c>
      <c r="S33">
        <v>60</v>
      </c>
      <c r="T33">
        <v>62</v>
      </c>
      <c r="U33">
        <f t="shared" si="10"/>
        <v>-2</v>
      </c>
    </row>
    <row r="34" spans="1:21" x14ac:dyDescent="0.3">
      <c r="B34" t="s">
        <v>4</v>
      </c>
      <c r="C34">
        <v>34</v>
      </c>
      <c r="D34">
        <v>12</v>
      </c>
      <c r="E34">
        <v>11</v>
      </c>
      <c r="F34">
        <v>11</v>
      </c>
      <c r="G34">
        <f t="shared" si="7"/>
        <v>47</v>
      </c>
      <c r="H34">
        <v>52</v>
      </c>
      <c r="I34">
        <v>51</v>
      </c>
      <c r="J34">
        <f t="shared" si="8"/>
        <v>1</v>
      </c>
      <c r="L34" t="str">
        <f t="shared" si="3"/>
        <v/>
      </c>
      <c r="M34" t="s">
        <v>32</v>
      </c>
      <c r="N34">
        <v>34</v>
      </c>
      <c r="O34">
        <v>14</v>
      </c>
      <c r="P34">
        <v>5</v>
      </c>
      <c r="Q34">
        <f t="shared" si="9"/>
        <v>15</v>
      </c>
      <c r="R34">
        <f t="shared" si="6"/>
        <v>47</v>
      </c>
      <c r="S34">
        <v>52</v>
      </c>
      <c r="T34">
        <v>61</v>
      </c>
      <c r="U34">
        <f t="shared" si="10"/>
        <v>-9</v>
      </c>
    </row>
    <row r="35" spans="1:21" x14ac:dyDescent="0.3">
      <c r="B35" t="s">
        <v>8</v>
      </c>
      <c r="C35">
        <v>34</v>
      </c>
      <c r="D35">
        <v>14</v>
      </c>
      <c r="E35">
        <v>4</v>
      </c>
      <c r="F35">
        <v>16</v>
      </c>
      <c r="G35">
        <f t="shared" si="7"/>
        <v>46</v>
      </c>
      <c r="H35">
        <v>55</v>
      </c>
      <c r="I35">
        <v>56</v>
      </c>
      <c r="J35">
        <f t="shared" si="8"/>
        <v>-1</v>
      </c>
      <c r="L35" t="str">
        <f t="shared" si="3"/>
        <v/>
      </c>
      <c r="M35" t="s">
        <v>51</v>
      </c>
      <c r="N35">
        <v>34</v>
      </c>
      <c r="O35">
        <v>11</v>
      </c>
      <c r="P35">
        <v>7</v>
      </c>
      <c r="Q35">
        <f t="shared" si="9"/>
        <v>16</v>
      </c>
      <c r="R35">
        <f t="shared" si="6"/>
        <v>40</v>
      </c>
      <c r="S35">
        <v>43</v>
      </c>
      <c r="T35">
        <v>43</v>
      </c>
      <c r="U35">
        <f t="shared" si="10"/>
        <v>0</v>
      </c>
    </row>
    <row r="36" spans="1:21" x14ac:dyDescent="0.3">
      <c r="B36" t="s">
        <v>10</v>
      </c>
      <c r="C36">
        <v>34</v>
      </c>
      <c r="D36">
        <v>11</v>
      </c>
      <c r="E36">
        <v>9</v>
      </c>
      <c r="F36">
        <v>14</v>
      </c>
      <c r="G36">
        <f t="shared" si="7"/>
        <v>42</v>
      </c>
      <c r="H36">
        <v>36</v>
      </c>
      <c r="I36">
        <v>51</v>
      </c>
      <c r="J36">
        <f t="shared" si="8"/>
        <v>-15</v>
      </c>
      <c r="L36" t="str">
        <f t="shared" si="3"/>
        <v/>
      </c>
      <c r="M36" t="s">
        <v>28</v>
      </c>
      <c r="N36">
        <v>34</v>
      </c>
      <c r="O36">
        <v>11</v>
      </c>
      <c r="P36">
        <v>6</v>
      </c>
      <c r="Q36">
        <f t="shared" si="9"/>
        <v>17</v>
      </c>
      <c r="R36">
        <f t="shared" si="6"/>
        <v>39</v>
      </c>
      <c r="S36">
        <v>32</v>
      </c>
      <c r="T36">
        <v>48</v>
      </c>
      <c r="U36">
        <f t="shared" si="10"/>
        <v>-16</v>
      </c>
    </row>
    <row r="37" spans="1:21" x14ac:dyDescent="0.3">
      <c r="B37" t="s">
        <v>13</v>
      </c>
      <c r="C37">
        <v>34</v>
      </c>
      <c r="D37">
        <v>10</v>
      </c>
      <c r="E37">
        <v>7</v>
      </c>
      <c r="F37">
        <v>17</v>
      </c>
      <c r="G37">
        <f t="shared" si="7"/>
        <v>37</v>
      </c>
      <c r="H37">
        <v>62</v>
      </c>
      <c r="I37">
        <v>88</v>
      </c>
      <c r="J37">
        <f t="shared" si="8"/>
        <v>-26</v>
      </c>
      <c r="L37" t="str">
        <f t="shared" si="3"/>
        <v/>
      </c>
      <c r="M37" t="s">
        <v>27</v>
      </c>
      <c r="N37">
        <v>34</v>
      </c>
      <c r="O37">
        <v>11</v>
      </c>
      <c r="P37">
        <v>5</v>
      </c>
      <c r="Q37">
        <f t="shared" si="9"/>
        <v>18</v>
      </c>
      <c r="R37">
        <f t="shared" si="6"/>
        <v>38</v>
      </c>
      <c r="S37">
        <v>44</v>
      </c>
      <c r="T37">
        <v>57</v>
      </c>
      <c r="U37">
        <f t="shared" si="10"/>
        <v>-13</v>
      </c>
    </row>
    <row r="38" spans="1:21" x14ac:dyDescent="0.3">
      <c r="B38" s="3" t="s">
        <v>42</v>
      </c>
      <c r="C38" s="3">
        <v>34</v>
      </c>
      <c r="D38" s="3">
        <v>9</v>
      </c>
      <c r="E38" s="3">
        <v>8</v>
      </c>
      <c r="F38" s="3">
        <v>17</v>
      </c>
      <c r="G38" s="3">
        <f t="shared" si="7"/>
        <v>35</v>
      </c>
      <c r="H38" s="3">
        <v>44</v>
      </c>
      <c r="I38" s="3">
        <v>57</v>
      </c>
      <c r="J38" s="3">
        <f t="shared" si="8"/>
        <v>-13</v>
      </c>
      <c r="L38" t="str">
        <f t="shared" si="3"/>
        <v/>
      </c>
      <c r="M38" s="3" t="s">
        <v>52</v>
      </c>
      <c r="N38" s="3">
        <v>34</v>
      </c>
      <c r="O38" s="3">
        <v>11</v>
      </c>
      <c r="P38" s="3">
        <v>5</v>
      </c>
      <c r="Q38" s="3">
        <f t="shared" si="9"/>
        <v>18</v>
      </c>
      <c r="R38" s="3">
        <f t="shared" si="6"/>
        <v>38</v>
      </c>
      <c r="S38" s="3">
        <v>52</v>
      </c>
      <c r="T38" s="3">
        <v>67</v>
      </c>
      <c r="U38" s="3">
        <f t="shared" si="10"/>
        <v>-15</v>
      </c>
    </row>
    <row r="39" spans="1:21" x14ac:dyDescent="0.3">
      <c r="B39" s="3" t="s">
        <v>43</v>
      </c>
      <c r="C39" s="3">
        <v>34</v>
      </c>
      <c r="D39" s="3">
        <v>7</v>
      </c>
      <c r="E39" s="3">
        <v>12</v>
      </c>
      <c r="F39" s="3">
        <v>15</v>
      </c>
      <c r="G39" s="3">
        <f t="shared" si="7"/>
        <v>33</v>
      </c>
      <c r="H39" s="3">
        <v>56</v>
      </c>
      <c r="I39" s="3">
        <v>83</v>
      </c>
      <c r="J39" s="3">
        <f t="shared" si="8"/>
        <v>-27</v>
      </c>
      <c r="L39" t="str">
        <f t="shared" si="3"/>
        <v/>
      </c>
      <c r="M39" s="3" t="s">
        <v>26</v>
      </c>
      <c r="N39" s="3">
        <v>34</v>
      </c>
      <c r="O39" s="3">
        <v>9</v>
      </c>
      <c r="P39" s="3">
        <v>6</v>
      </c>
      <c r="Q39" s="3">
        <f t="shared" si="9"/>
        <v>19</v>
      </c>
      <c r="R39" s="3">
        <f t="shared" si="6"/>
        <v>33</v>
      </c>
      <c r="S39" s="3">
        <v>61</v>
      </c>
      <c r="T39" s="3">
        <v>85</v>
      </c>
      <c r="U39" s="3">
        <f t="shared" si="10"/>
        <v>-24</v>
      </c>
    </row>
    <row r="40" spans="1:21" x14ac:dyDescent="0.3">
      <c r="B40" s="4" t="s">
        <v>44</v>
      </c>
      <c r="C40" s="4">
        <v>34</v>
      </c>
      <c r="D40" s="4">
        <v>9</v>
      </c>
      <c r="E40" s="4">
        <v>5</v>
      </c>
      <c r="F40" s="4">
        <v>20</v>
      </c>
      <c r="G40" s="4">
        <f t="shared" si="7"/>
        <v>32</v>
      </c>
      <c r="H40" s="4">
        <v>57</v>
      </c>
      <c r="I40" s="4">
        <v>83</v>
      </c>
      <c r="J40" s="4">
        <f t="shared" si="8"/>
        <v>-26</v>
      </c>
      <c r="L40" t="str">
        <f t="shared" si="3"/>
        <v/>
      </c>
      <c r="M40" s="4" t="s">
        <v>33</v>
      </c>
      <c r="N40" s="4">
        <v>34</v>
      </c>
      <c r="O40" s="4">
        <v>8</v>
      </c>
      <c r="P40" s="4">
        <v>8</v>
      </c>
      <c r="Q40" s="4">
        <f t="shared" si="9"/>
        <v>18</v>
      </c>
      <c r="R40" s="4">
        <f t="shared" si="6"/>
        <v>32</v>
      </c>
      <c r="S40" s="4">
        <v>48</v>
      </c>
      <c r="T40" s="4">
        <v>61</v>
      </c>
      <c r="U40" s="4">
        <f t="shared" si="10"/>
        <v>-13</v>
      </c>
    </row>
    <row r="41" spans="1:21" x14ac:dyDescent="0.3">
      <c r="B41" s="4" t="s">
        <v>45</v>
      </c>
      <c r="C41" s="4">
        <v>34</v>
      </c>
      <c r="D41" s="4">
        <v>2</v>
      </c>
      <c r="E41" s="4">
        <v>4</v>
      </c>
      <c r="F41" s="4">
        <v>28</v>
      </c>
      <c r="G41" s="4">
        <f>D41*3+E41-7</f>
        <v>3</v>
      </c>
      <c r="H41" s="4">
        <v>31</v>
      </c>
      <c r="I41" s="4">
        <v>122</v>
      </c>
      <c r="J41" s="4">
        <f t="shared" si="8"/>
        <v>-91</v>
      </c>
      <c r="L41" t="str">
        <f t="shared" si="3"/>
        <v/>
      </c>
      <c r="M41" s="4" t="s">
        <v>53</v>
      </c>
      <c r="N41" s="4">
        <v>34</v>
      </c>
      <c r="O41" s="4">
        <v>6</v>
      </c>
      <c r="P41" s="4">
        <v>7</v>
      </c>
      <c r="Q41" s="4">
        <f t="shared" si="9"/>
        <v>21</v>
      </c>
      <c r="R41" s="4">
        <f t="shared" si="6"/>
        <v>25</v>
      </c>
      <c r="S41" s="4">
        <v>28</v>
      </c>
      <c r="T41" s="4">
        <v>76</v>
      </c>
      <c r="U41" s="4">
        <f t="shared" si="10"/>
        <v>-48</v>
      </c>
    </row>
    <row r="42" spans="1:21" x14ac:dyDescent="0.3">
      <c r="L42" t="str">
        <f t="shared" si="3"/>
        <v/>
      </c>
    </row>
    <row r="43" spans="1:21" x14ac:dyDescent="0.3">
      <c r="A43" t="s">
        <v>142</v>
      </c>
      <c r="B43" s="1" t="s">
        <v>54</v>
      </c>
      <c r="C43" s="1">
        <v>34</v>
      </c>
      <c r="D43" s="1">
        <v>25</v>
      </c>
      <c r="E43" s="1">
        <v>5</v>
      </c>
      <c r="F43" s="1">
        <v>4</v>
      </c>
      <c r="G43" s="1">
        <f>D43*3+E43</f>
        <v>80</v>
      </c>
      <c r="H43" s="1">
        <v>94</v>
      </c>
      <c r="I43" s="1">
        <v>41</v>
      </c>
      <c r="J43" s="1">
        <f>H43-I43</f>
        <v>53</v>
      </c>
      <c r="L43" t="str">
        <f t="shared" si="3"/>
        <v>2018/19</v>
      </c>
      <c r="M43" s="1" t="s">
        <v>6</v>
      </c>
      <c r="N43" s="1">
        <v>34</v>
      </c>
      <c r="O43" s="1">
        <v>22</v>
      </c>
      <c r="P43" s="1">
        <v>5</v>
      </c>
      <c r="Q43" s="1">
        <f>N43-O43-P43</f>
        <v>7</v>
      </c>
      <c r="R43" s="1">
        <f t="shared" ref="R43:R60" si="11">O43*3+P43*1</f>
        <v>71</v>
      </c>
      <c r="S43" s="1">
        <v>97</v>
      </c>
      <c r="T43" s="1">
        <v>44</v>
      </c>
      <c r="U43" s="1">
        <f>S43-T43</f>
        <v>53</v>
      </c>
    </row>
    <row r="44" spans="1:21" x14ac:dyDescent="0.3">
      <c r="B44" s="6" t="s">
        <v>11</v>
      </c>
      <c r="C44" s="6">
        <v>34</v>
      </c>
      <c r="D44" s="6">
        <v>22</v>
      </c>
      <c r="E44" s="6">
        <v>6</v>
      </c>
      <c r="F44" s="6">
        <v>6</v>
      </c>
      <c r="G44" s="6">
        <f t="shared" ref="G44:G59" si="12">D44*3+E44</f>
        <v>72</v>
      </c>
      <c r="H44" s="6">
        <v>84</v>
      </c>
      <c r="I44" s="6">
        <v>40</v>
      </c>
      <c r="J44" s="6">
        <f t="shared" ref="J44:J60" si="13">H44-I44</f>
        <v>44</v>
      </c>
      <c r="L44" t="str">
        <f t="shared" si="3"/>
        <v/>
      </c>
      <c r="M44" t="s">
        <v>60</v>
      </c>
      <c r="N44">
        <v>34</v>
      </c>
      <c r="O44">
        <v>21</v>
      </c>
      <c r="P44">
        <v>7</v>
      </c>
      <c r="Q44">
        <f t="shared" ref="Q44:Q60" si="14">N44-O44-P44</f>
        <v>6</v>
      </c>
      <c r="R44">
        <f t="shared" si="11"/>
        <v>70</v>
      </c>
      <c r="S44">
        <v>63</v>
      </c>
      <c r="T44">
        <v>38</v>
      </c>
      <c r="U44">
        <f t="shared" ref="U44:U60" si="15">S44-T44</f>
        <v>25</v>
      </c>
    </row>
    <row r="45" spans="1:21" x14ac:dyDescent="0.3">
      <c r="B45" t="s">
        <v>7</v>
      </c>
      <c r="C45">
        <v>34</v>
      </c>
      <c r="D45">
        <v>21</v>
      </c>
      <c r="E45">
        <v>5</v>
      </c>
      <c r="F45">
        <v>8</v>
      </c>
      <c r="G45">
        <f t="shared" si="12"/>
        <v>68</v>
      </c>
      <c r="H45">
        <v>102</v>
      </c>
      <c r="I45">
        <v>47</v>
      </c>
      <c r="J45">
        <f t="shared" si="13"/>
        <v>55</v>
      </c>
      <c r="L45" t="str">
        <f t="shared" si="3"/>
        <v/>
      </c>
      <c r="M45" s="2" t="s">
        <v>30</v>
      </c>
      <c r="N45" s="2">
        <v>34</v>
      </c>
      <c r="O45" s="2">
        <v>18</v>
      </c>
      <c r="P45" s="2">
        <v>8</v>
      </c>
      <c r="Q45" s="2">
        <f t="shared" si="14"/>
        <v>8</v>
      </c>
      <c r="R45" s="2">
        <f t="shared" si="11"/>
        <v>62</v>
      </c>
      <c r="S45" s="2">
        <v>79</v>
      </c>
      <c r="T45" s="2">
        <v>43</v>
      </c>
      <c r="U45" s="2">
        <f t="shared" si="15"/>
        <v>36</v>
      </c>
    </row>
    <row r="46" spans="1:21" x14ac:dyDescent="0.3">
      <c r="B46" s="6" t="s">
        <v>55</v>
      </c>
      <c r="C46" s="6">
        <v>34</v>
      </c>
      <c r="D46" s="6">
        <v>19</v>
      </c>
      <c r="E46" s="6">
        <v>7</v>
      </c>
      <c r="F46" s="6">
        <v>8</v>
      </c>
      <c r="G46" s="6">
        <f t="shared" si="12"/>
        <v>64</v>
      </c>
      <c r="H46" s="6">
        <v>82</v>
      </c>
      <c r="I46" s="6">
        <v>55</v>
      </c>
      <c r="J46" s="6">
        <f t="shared" si="13"/>
        <v>27</v>
      </c>
      <c r="L46" t="str">
        <f t="shared" si="3"/>
        <v/>
      </c>
      <c r="M46" s="2" t="s">
        <v>61</v>
      </c>
      <c r="N46" s="2">
        <v>34</v>
      </c>
      <c r="O46" s="2">
        <v>20</v>
      </c>
      <c r="P46" s="2">
        <v>1</v>
      </c>
      <c r="Q46" s="2">
        <f t="shared" si="14"/>
        <v>13</v>
      </c>
      <c r="R46" s="2">
        <f t="shared" si="11"/>
        <v>61</v>
      </c>
      <c r="S46" s="2">
        <v>80</v>
      </c>
      <c r="T46" s="2">
        <v>55</v>
      </c>
      <c r="U46" s="2">
        <f t="shared" si="15"/>
        <v>25</v>
      </c>
    </row>
    <row r="47" spans="1:21" x14ac:dyDescent="0.3">
      <c r="B47" t="s">
        <v>9</v>
      </c>
      <c r="C47">
        <v>34</v>
      </c>
      <c r="D47">
        <v>17</v>
      </c>
      <c r="E47">
        <v>7</v>
      </c>
      <c r="F47">
        <v>10</v>
      </c>
      <c r="G47">
        <f t="shared" si="12"/>
        <v>58</v>
      </c>
      <c r="H47">
        <v>66</v>
      </c>
      <c r="I47">
        <v>39</v>
      </c>
      <c r="J47">
        <f t="shared" si="13"/>
        <v>27</v>
      </c>
      <c r="L47" t="str">
        <f t="shared" si="3"/>
        <v/>
      </c>
      <c r="M47" t="s">
        <v>47</v>
      </c>
      <c r="N47">
        <v>34</v>
      </c>
      <c r="O47">
        <v>17</v>
      </c>
      <c r="P47">
        <v>5</v>
      </c>
      <c r="Q47">
        <f t="shared" si="14"/>
        <v>12</v>
      </c>
      <c r="R47">
        <f t="shared" si="11"/>
        <v>56</v>
      </c>
      <c r="S47">
        <v>68</v>
      </c>
      <c r="T47">
        <v>55</v>
      </c>
      <c r="U47">
        <f t="shared" si="15"/>
        <v>13</v>
      </c>
    </row>
    <row r="48" spans="1:21" x14ac:dyDescent="0.3">
      <c r="B48" t="s">
        <v>8</v>
      </c>
      <c r="C48">
        <v>34</v>
      </c>
      <c r="D48">
        <v>17</v>
      </c>
      <c r="E48">
        <v>6</v>
      </c>
      <c r="F48">
        <v>11</v>
      </c>
      <c r="G48">
        <f t="shared" si="12"/>
        <v>57</v>
      </c>
      <c r="H48">
        <v>68</v>
      </c>
      <c r="I48">
        <v>59</v>
      </c>
      <c r="J48">
        <f t="shared" si="13"/>
        <v>9</v>
      </c>
      <c r="L48" t="str">
        <f t="shared" si="3"/>
        <v/>
      </c>
      <c r="M48" t="s">
        <v>62</v>
      </c>
      <c r="N48">
        <v>34</v>
      </c>
      <c r="O48">
        <v>16</v>
      </c>
      <c r="P48">
        <v>6</v>
      </c>
      <c r="Q48">
        <f t="shared" si="14"/>
        <v>12</v>
      </c>
      <c r="R48">
        <f>O48*3+P48*1</f>
        <v>54</v>
      </c>
      <c r="S48">
        <v>70</v>
      </c>
      <c r="T48">
        <v>53</v>
      </c>
      <c r="U48">
        <f t="shared" si="15"/>
        <v>17</v>
      </c>
    </row>
    <row r="49" spans="1:21" x14ac:dyDescent="0.3">
      <c r="B49" s="6" t="s">
        <v>4</v>
      </c>
      <c r="C49" s="6">
        <v>34</v>
      </c>
      <c r="D49" s="6">
        <v>16</v>
      </c>
      <c r="E49" s="6">
        <v>7</v>
      </c>
      <c r="F49" s="6">
        <v>11</v>
      </c>
      <c r="G49" s="6">
        <f t="shared" si="12"/>
        <v>55</v>
      </c>
      <c r="H49" s="6">
        <v>74</v>
      </c>
      <c r="I49" s="6">
        <v>54</v>
      </c>
      <c r="J49" s="6">
        <f t="shared" si="13"/>
        <v>20</v>
      </c>
      <c r="L49" t="str">
        <f t="shared" si="3"/>
        <v/>
      </c>
      <c r="M49" t="s">
        <v>48</v>
      </c>
      <c r="N49">
        <v>34</v>
      </c>
      <c r="O49">
        <v>15</v>
      </c>
      <c r="P49">
        <v>5</v>
      </c>
      <c r="Q49">
        <f t="shared" si="14"/>
        <v>14</v>
      </c>
      <c r="R49">
        <f t="shared" si="11"/>
        <v>50</v>
      </c>
      <c r="S49">
        <v>67</v>
      </c>
      <c r="T49">
        <v>66</v>
      </c>
      <c r="U49">
        <f t="shared" si="15"/>
        <v>1</v>
      </c>
    </row>
    <row r="50" spans="1:21" x14ac:dyDescent="0.3">
      <c r="B50" t="s">
        <v>16</v>
      </c>
      <c r="C50">
        <v>34</v>
      </c>
      <c r="D50">
        <v>17</v>
      </c>
      <c r="E50">
        <v>4</v>
      </c>
      <c r="F50">
        <v>13</v>
      </c>
      <c r="G50">
        <f t="shared" si="12"/>
        <v>55</v>
      </c>
      <c r="H50">
        <v>65</v>
      </c>
      <c r="I50">
        <v>56</v>
      </c>
      <c r="J50">
        <f t="shared" si="13"/>
        <v>9</v>
      </c>
      <c r="L50" t="str">
        <f t="shared" si="3"/>
        <v/>
      </c>
      <c r="M50" s="2" t="s">
        <v>49</v>
      </c>
      <c r="N50" s="2">
        <v>34</v>
      </c>
      <c r="O50" s="2">
        <v>13</v>
      </c>
      <c r="P50" s="2">
        <v>8</v>
      </c>
      <c r="Q50" s="2">
        <f t="shared" si="14"/>
        <v>13</v>
      </c>
      <c r="R50" s="2">
        <f t="shared" si="11"/>
        <v>47</v>
      </c>
      <c r="S50" s="2">
        <v>59</v>
      </c>
      <c r="T50" s="2">
        <v>57</v>
      </c>
      <c r="U50" s="2">
        <f t="shared" si="15"/>
        <v>2</v>
      </c>
    </row>
    <row r="51" spans="1:21" x14ac:dyDescent="0.3">
      <c r="B51" t="s">
        <v>15</v>
      </c>
      <c r="C51">
        <v>34</v>
      </c>
      <c r="D51">
        <v>17</v>
      </c>
      <c r="E51">
        <v>3</v>
      </c>
      <c r="F51">
        <v>14</v>
      </c>
      <c r="G51">
        <f t="shared" si="12"/>
        <v>54</v>
      </c>
      <c r="H51">
        <v>71</v>
      </c>
      <c r="I51">
        <v>66</v>
      </c>
      <c r="J51">
        <f t="shared" si="13"/>
        <v>5</v>
      </c>
      <c r="L51" t="str">
        <f t="shared" si="3"/>
        <v/>
      </c>
      <c r="M51" t="s">
        <v>22</v>
      </c>
      <c r="N51">
        <v>34</v>
      </c>
      <c r="O51">
        <v>14</v>
      </c>
      <c r="P51">
        <v>4</v>
      </c>
      <c r="Q51">
        <f t="shared" si="14"/>
        <v>16</v>
      </c>
      <c r="R51">
        <f t="shared" si="11"/>
        <v>46</v>
      </c>
      <c r="S51">
        <v>59</v>
      </c>
      <c r="T51">
        <v>73</v>
      </c>
      <c r="U51">
        <f t="shared" si="15"/>
        <v>-14</v>
      </c>
    </row>
    <row r="52" spans="1:21" x14ac:dyDescent="0.3">
      <c r="B52" t="s">
        <v>2</v>
      </c>
      <c r="C52">
        <v>34</v>
      </c>
      <c r="D52">
        <v>16</v>
      </c>
      <c r="E52">
        <v>3</v>
      </c>
      <c r="F52">
        <v>15</v>
      </c>
      <c r="G52">
        <f t="shared" si="12"/>
        <v>51</v>
      </c>
      <c r="H52">
        <v>62</v>
      </c>
      <c r="I52">
        <v>64</v>
      </c>
      <c r="J52">
        <f t="shared" si="13"/>
        <v>-2</v>
      </c>
      <c r="L52" t="str">
        <f t="shared" si="3"/>
        <v/>
      </c>
      <c r="M52" t="s">
        <v>23</v>
      </c>
      <c r="N52">
        <v>34</v>
      </c>
      <c r="O52">
        <v>14</v>
      </c>
      <c r="P52">
        <v>3</v>
      </c>
      <c r="Q52">
        <f t="shared" si="14"/>
        <v>17</v>
      </c>
      <c r="R52">
        <f t="shared" si="11"/>
        <v>45</v>
      </c>
      <c r="S52">
        <v>51</v>
      </c>
      <c r="T52">
        <v>70</v>
      </c>
      <c r="U52">
        <f t="shared" si="15"/>
        <v>-19</v>
      </c>
    </row>
    <row r="53" spans="1:21" x14ac:dyDescent="0.3">
      <c r="B53" t="s">
        <v>40</v>
      </c>
      <c r="C53">
        <v>34</v>
      </c>
      <c r="D53">
        <v>14</v>
      </c>
      <c r="E53">
        <v>6</v>
      </c>
      <c r="F53">
        <v>14</v>
      </c>
      <c r="G53">
        <f t="shared" si="12"/>
        <v>48</v>
      </c>
      <c r="H53">
        <v>76</v>
      </c>
      <c r="I53">
        <v>66</v>
      </c>
      <c r="J53">
        <f t="shared" si="13"/>
        <v>10</v>
      </c>
      <c r="L53" t="str">
        <f t="shared" si="3"/>
        <v/>
      </c>
      <c r="M53" t="s">
        <v>24</v>
      </c>
      <c r="N53">
        <v>34</v>
      </c>
      <c r="O53">
        <v>12</v>
      </c>
      <c r="P53">
        <v>8</v>
      </c>
      <c r="Q53">
        <f t="shared" si="14"/>
        <v>14</v>
      </c>
      <c r="R53">
        <f t="shared" si="11"/>
        <v>44</v>
      </c>
      <c r="S53">
        <v>55</v>
      </c>
      <c r="T53">
        <v>63</v>
      </c>
      <c r="U53">
        <f t="shared" si="15"/>
        <v>-8</v>
      </c>
    </row>
    <row r="54" spans="1:21" x14ac:dyDescent="0.3">
      <c r="B54" t="s">
        <v>56</v>
      </c>
      <c r="C54">
        <v>34</v>
      </c>
      <c r="D54">
        <v>12</v>
      </c>
      <c r="E54">
        <v>5</v>
      </c>
      <c r="F54">
        <v>17</v>
      </c>
      <c r="G54">
        <f t="shared" si="12"/>
        <v>41</v>
      </c>
      <c r="H54">
        <v>52</v>
      </c>
      <c r="I54">
        <v>61</v>
      </c>
      <c r="J54">
        <f t="shared" si="13"/>
        <v>-9</v>
      </c>
      <c r="L54" t="str">
        <f t="shared" si="3"/>
        <v/>
      </c>
      <c r="M54" t="s">
        <v>27</v>
      </c>
      <c r="N54">
        <v>34</v>
      </c>
      <c r="O54">
        <v>14</v>
      </c>
      <c r="P54">
        <v>2</v>
      </c>
      <c r="Q54">
        <f t="shared" si="14"/>
        <v>18</v>
      </c>
      <c r="R54">
        <f t="shared" si="11"/>
        <v>44</v>
      </c>
      <c r="S54">
        <v>51</v>
      </c>
      <c r="T54">
        <v>73</v>
      </c>
      <c r="U54">
        <f t="shared" si="15"/>
        <v>-22</v>
      </c>
    </row>
    <row r="55" spans="1:21" x14ac:dyDescent="0.3">
      <c r="B55" t="s">
        <v>13</v>
      </c>
      <c r="C55">
        <v>34</v>
      </c>
      <c r="D55">
        <v>12</v>
      </c>
      <c r="E55">
        <v>3</v>
      </c>
      <c r="F55">
        <v>19</v>
      </c>
      <c r="G55">
        <f t="shared" si="12"/>
        <v>39</v>
      </c>
      <c r="H55">
        <v>57</v>
      </c>
      <c r="I55">
        <v>58</v>
      </c>
      <c r="J55">
        <f t="shared" si="13"/>
        <v>-1</v>
      </c>
      <c r="L55" t="str">
        <f t="shared" si="3"/>
        <v/>
      </c>
      <c r="M55" t="s">
        <v>63</v>
      </c>
      <c r="N55">
        <v>34</v>
      </c>
      <c r="O55">
        <v>12</v>
      </c>
      <c r="P55">
        <v>7</v>
      </c>
      <c r="Q55">
        <f t="shared" si="14"/>
        <v>15</v>
      </c>
      <c r="R55">
        <f t="shared" si="11"/>
        <v>43</v>
      </c>
      <c r="S55">
        <v>62</v>
      </c>
      <c r="T55">
        <v>65</v>
      </c>
      <c r="U55">
        <f t="shared" si="15"/>
        <v>-3</v>
      </c>
    </row>
    <row r="56" spans="1:21" x14ac:dyDescent="0.3">
      <c r="B56" t="s">
        <v>10</v>
      </c>
      <c r="C56">
        <v>34</v>
      </c>
      <c r="D56">
        <v>9</v>
      </c>
      <c r="E56">
        <v>8</v>
      </c>
      <c r="F56">
        <v>17</v>
      </c>
      <c r="G56">
        <f t="shared" si="12"/>
        <v>35</v>
      </c>
      <c r="H56">
        <v>41</v>
      </c>
      <c r="I56">
        <v>72</v>
      </c>
      <c r="J56">
        <f t="shared" si="13"/>
        <v>-31</v>
      </c>
      <c r="L56" t="str">
        <f t="shared" si="3"/>
        <v/>
      </c>
      <c r="M56" t="s">
        <v>28</v>
      </c>
      <c r="N56">
        <v>34</v>
      </c>
      <c r="O56">
        <v>11</v>
      </c>
      <c r="P56">
        <v>9</v>
      </c>
      <c r="Q56">
        <f t="shared" si="14"/>
        <v>14</v>
      </c>
      <c r="R56">
        <f>O56*3+P56*1-1</f>
        <v>41</v>
      </c>
      <c r="S56">
        <v>39</v>
      </c>
      <c r="T56">
        <v>43</v>
      </c>
      <c r="U56">
        <f t="shared" si="15"/>
        <v>-4</v>
      </c>
    </row>
    <row r="57" spans="1:21" x14ac:dyDescent="0.3">
      <c r="B57" s="3" t="s">
        <v>57</v>
      </c>
      <c r="C57" s="3">
        <v>34</v>
      </c>
      <c r="D57" s="3">
        <v>9</v>
      </c>
      <c r="E57" s="3">
        <v>2</v>
      </c>
      <c r="F57" s="3">
        <v>23</v>
      </c>
      <c r="G57" s="3">
        <f t="shared" si="12"/>
        <v>29</v>
      </c>
      <c r="H57" s="3">
        <v>51</v>
      </c>
      <c r="I57" s="3">
        <v>87</v>
      </c>
      <c r="J57" s="3">
        <f t="shared" si="13"/>
        <v>-36</v>
      </c>
      <c r="L57" t="str">
        <f t="shared" si="3"/>
        <v/>
      </c>
      <c r="M57" s="3" t="s">
        <v>31</v>
      </c>
      <c r="N57" s="3">
        <v>34</v>
      </c>
      <c r="O57" s="3">
        <v>12</v>
      </c>
      <c r="P57" s="3">
        <v>3</v>
      </c>
      <c r="Q57" s="3">
        <f t="shared" si="14"/>
        <v>19</v>
      </c>
      <c r="R57" s="3">
        <f t="shared" si="11"/>
        <v>39</v>
      </c>
      <c r="S57" s="3">
        <v>43</v>
      </c>
      <c r="T57" s="3">
        <v>77</v>
      </c>
      <c r="U57" s="3">
        <f t="shared" si="15"/>
        <v>-34</v>
      </c>
    </row>
    <row r="58" spans="1:21" x14ac:dyDescent="0.3">
      <c r="B58" s="3" t="s">
        <v>58</v>
      </c>
      <c r="C58" s="3">
        <v>34</v>
      </c>
      <c r="D58" s="3">
        <v>8</v>
      </c>
      <c r="E58" s="3">
        <v>2</v>
      </c>
      <c r="F58" s="3">
        <v>24</v>
      </c>
      <c r="G58" s="3">
        <f t="shared" si="12"/>
        <v>26</v>
      </c>
      <c r="H58" s="3">
        <v>50</v>
      </c>
      <c r="I58" s="3">
        <v>105</v>
      </c>
      <c r="J58" s="3">
        <f t="shared" si="13"/>
        <v>-55</v>
      </c>
      <c r="L58" t="str">
        <f t="shared" si="3"/>
        <v/>
      </c>
      <c r="M58" s="3" t="s">
        <v>32</v>
      </c>
      <c r="N58" s="3">
        <v>34</v>
      </c>
      <c r="O58" s="3">
        <v>10</v>
      </c>
      <c r="P58" s="3">
        <v>5</v>
      </c>
      <c r="Q58" s="3">
        <f t="shared" si="14"/>
        <v>19</v>
      </c>
      <c r="R58" s="3">
        <f t="shared" si="11"/>
        <v>35</v>
      </c>
      <c r="S58" s="3">
        <v>49</v>
      </c>
      <c r="T58" s="3">
        <v>61</v>
      </c>
      <c r="U58" s="3">
        <f t="shared" si="15"/>
        <v>-12</v>
      </c>
    </row>
    <row r="59" spans="1:21" x14ac:dyDescent="0.3">
      <c r="B59" s="4" t="s">
        <v>21</v>
      </c>
      <c r="C59" s="4">
        <v>34</v>
      </c>
      <c r="D59" s="4">
        <v>4</v>
      </c>
      <c r="E59" s="4">
        <v>7</v>
      </c>
      <c r="F59" s="4">
        <v>23</v>
      </c>
      <c r="G59" s="4">
        <f t="shared" si="12"/>
        <v>19</v>
      </c>
      <c r="H59" s="4">
        <v>49</v>
      </c>
      <c r="I59" s="4">
        <v>111</v>
      </c>
      <c r="J59" s="4">
        <f t="shared" si="13"/>
        <v>-62</v>
      </c>
      <c r="L59" t="str">
        <f t="shared" si="3"/>
        <v/>
      </c>
      <c r="M59" s="4" t="s">
        <v>52</v>
      </c>
      <c r="N59" s="4">
        <v>34</v>
      </c>
      <c r="O59" s="4">
        <v>8</v>
      </c>
      <c r="P59" s="4">
        <v>7</v>
      </c>
      <c r="Q59" s="4">
        <f t="shared" si="14"/>
        <v>19</v>
      </c>
      <c r="R59" s="4">
        <f t="shared" si="11"/>
        <v>31</v>
      </c>
      <c r="S59" s="4">
        <v>53</v>
      </c>
      <c r="T59" s="4">
        <v>84</v>
      </c>
      <c r="U59" s="4">
        <f t="shared" si="15"/>
        <v>-31</v>
      </c>
    </row>
    <row r="60" spans="1:21" x14ac:dyDescent="0.3">
      <c r="B60" s="4" t="s">
        <v>59</v>
      </c>
      <c r="C60" s="4">
        <v>34</v>
      </c>
      <c r="D60" s="4">
        <v>4</v>
      </c>
      <c r="E60" s="4">
        <v>8</v>
      </c>
      <c r="F60" s="4">
        <v>22</v>
      </c>
      <c r="G60" s="4">
        <f>D60*3+E60-4</f>
        <v>16</v>
      </c>
      <c r="H60" s="4">
        <v>44</v>
      </c>
      <c r="I60" s="4">
        <v>107</v>
      </c>
      <c r="J60" s="4">
        <f t="shared" si="13"/>
        <v>-63</v>
      </c>
      <c r="L60" t="str">
        <f t="shared" si="3"/>
        <v/>
      </c>
      <c r="M60" s="4" t="s">
        <v>64</v>
      </c>
      <c r="N60" s="4">
        <v>34</v>
      </c>
      <c r="O60" s="4">
        <v>7</v>
      </c>
      <c r="P60" s="4">
        <v>7</v>
      </c>
      <c r="Q60" s="4">
        <f t="shared" si="14"/>
        <v>20</v>
      </c>
      <c r="R60" s="4">
        <f t="shared" si="11"/>
        <v>28</v>
      </c>
      <c r="S60" s="4">
        <v>37</v>
      </c>
      <c r="T60" s="4">
        <v>62</v>
      </c>
      <c r="U60" s="4">
        <f t="shared" si="15"/>
        <v>-25</v>
      </c>
    </row>
    <row r="61" spans="1:21" x14ac:dyDescent="0.3">
      <c r="L61" t="str">
        <f t="shared" si="3"/>
        <v/>
      </c>
    </row>
    <row r="62" spans="1:21" x14ac:dyDescent="0.3">
      <c r="A62" t="s">
        <v>143</v>
      </c>
      <c r="B62" s="1" t="s">
        <v>65</v>
      </c>
      <c r="C62" s="1">
        <v>22</v>
      </c>
      <c r="D62" s="1">
        <v>17</v>
      </c>
      <c r="E62" s="1">
        <v>1</v>
      </c>
      <c r="F62" s="1">
        <v>4</v>
      </c>
      <c r="G62" s="1">
        <f>D62*3+E62</f>
        <v>52</v>
      </c>
      <c r="H62" s="1">
        <v>58</v>
      </c>
      <c r="I62" s="1">
        <v>27</v>
      </c>
      <c r="J62" s="1">
        <f>H62-I62</f>
        <v>31</v>
      </c>
      <c r="L62" t="str">
        <f t="shared" si="3"/>
        <v>2019/20</v>
      </c>
      <c r="M62" s="1" t="s">
        <v>62</v>
      </c>
      <c r="N62" s="1">
        <v>22</v>
      </c>
      <c r="O62" s="1">
        <v>16</v>
      </c>
      <c r="P62" s="1">
        <v>5</v>
      </c>
      <c r="Q62" s="1">
        <f>N62-O62-P62</f>
        <v>1</v>
      </c>
      <c r="R62" s="1">
        <f t="shared" ref="R62:R74" si="16">O62*3+P62*1</f>
        <v>53</v>
      </c>
      <c r="S62" s="1">
        <v>55</v>
      </c>
      <c r="T62" s="1">
        <v>24</v>
      </c>
      <c r="U62" s="1">
        <f>S62-T62</f>
        <v>31</v>
      </c>
    </row>
    <row r="63" spans="1:21" x14ac:dyDescent="0.3">
      <c r="B63" s="7" t="s">
        <v>15</v>
      </c>
      <c r="C63" s="7">
        <v>22</v>
      </c>
      <c r="D63" s="7">
        <v>15</v>
      </c>
      <c r="E63" s="7">
        <v>2</v>
      </c>
      <c r="F63" s="7">
        <v>5</v>
      </c>
      <c r="G63" s="7">
        <f t="shared" ref="G63:G78" si="17">D63*3+E63</f>
        <v>47</v>
      </c>
      <c r="H63" s="7">
        <v>63</v>
      </c>
      <c r="I63" s="7">
        <v>30</v>
      </c>
      <c r="J63" s="7">
        <f t="shared" ref="J63:J78" si="18">H63-I63</f>
        <v>33</v>
      </c>
      <c r="L63" t="str">
        <f t="shared" si="3"/>
        <v/>
      </c>
      <c r="M63" s="2" t="s">
        <v>70</v>
      </c>
      <c r="N63" s="2">
        <v>22</v>
      </c>
      <c r="O63" s="2">
        <v>12</v>
      </c>
      <c r="P63" s="2">
        <v>3</v>
      </c>
      <c r="Q63" s="2">
        <f t="shared" ref="Q63:Q74" si="19">N63-O63-P63</f>
        <v>7</v>
      </c>
      <c r="R63" s="2">
        <f t="shared" si="16"/>
        <v>39</v>
      </c>
      <c r="S63" s="2">
        <v>47</v>
      </c>
      <c r="T63" s="2">
        <v>36</v>
      </c>
      <c r="U63" s="2">
        <f t="shared" ref="U63:U74" si="20">S63-T63</f>
        <v>11</v>
      </c>
    </row>
    <row r="64" spans="1:21" x14ac:dyDescent="0.3">
      <c r="B64" s="7" t="s">
        <v>8</v>
      </c>
      <c r="C64" s="7">
        <v>22</v>
      </c>
      <c r="D64" s="7">
        <v>13</v>
      </c>
      <c r="E64" s="7">
        <v>3</v>
      </c>
      <c r="F64" s="7">
        <v>6</v>
      </c>
      <c r="G64" s="7">
        <f t="shared" si="17"/>
        <v>42</v>
      </c>
      <c r="H64" s="7">
        <v>43</v>
      </c>
      <c r="I64" s="7">
        <v>34</v>
      </c>
      <c r="J64" s="7">
        <f t="shared" si="18"/>
        <v>9</v>
      </c>
      <c r="L64" t="str">
        <f t="shared" si="3"/>
        <v/>
      </c>
      <c r="M64" s="2" t="s">
        <v>30</v>
      </c>
      <c r="N64" s="2">
        <v>22</v>
      </c>
      <c r="O64" s="2">
        <v>11</v>
      </c>
      <c r="P64" s="2">
        <v>3</v>
      </c>
      <c r="Q64" s="2">
        <f t="shared" si="19"/>
        <v>8</v>
      </c>
      <c r="R64" s="2">
        <f t="shared" si="16"/>
        <v>36</v>
      </c>
      <c r="S64" s="2">
        <v>38</v>
      </c>
      <c r="T64" s="2">
        <v>27</v>
      </c>
      <c r="U64" s="2">
        <f t="shared" si="20"/>
        <v>11</v>
      </c>
    </row>
    <row r="65" spans="1:21" x14ac:dyDescent="0.3">
      <c r="B65" s="7" t="s">
        <v>7</v>
      </c>
      <c r="C65" s="7">
        <v>23</v>
      </c>
      <c r="D65" s="7">
        <v>13</v>
      </c>
      <c r="E65" s="7">
        <v>3</v>
      </c>
      <c r="F65" s="7">
        <v>7</v>
      </c>
      <c r="G65" s="7">
        <f t="shared" si="17"/>
        <v>42</v>
      </c>
      <c r="H65" s="7">
        <v>39</v>
      </c>
      <c r="I65" s="7">
        <v>30</v>
      </c>
      <c r="J65" s="7">
        <f t="shared" si="18"/>
        <v>9</v>
      </c>
      <c r="L65" t="str">
        <f t="shared" si="3"/>
        <v/>
      </c>
      <c r="M65" s="2" t="s">
        <v>71</v>
      </c>
      <c r="N65" s="2">
        <v>22</v>
      </c>
      <c r="O65" s="2">
        <v>10</v>
      </c>
      <c r="P65" s="2">
        <v>5</v>
      </c>
      <c r="Q65" s="2">
        <f t="shared" si="19"/>
        <v>7</v>
      </c>
      <c r="R65" s="2">
        <f t="shared" si="16"/>
        <v>35</v>
      </c>
      <c r="S65" s="2">
        <v>42</v>
      </c>
      <c r="T65" s="2">
        <v>42</v>
      </c>
      <c r="U65" s="2">
        <f t="shared" si="20"/>
        <v>0</v>
      </c>
    </row>
    <row r="66" spans="1:21" x14ac:dyDescent="0.3">
      <c r="B66" t="s">
        <v>2</v>
      </c>
      <c r="C66">
        <v>23</v>
      </c>
      <c r="D66">
        <v>11</v>
      </c>
      <c r="E66">
        <v>5</v>
      </c>
      <c r="F66">
        <v>7</v>
      </c>
      <c r="G66">
        <f t="shared" si="17"/>
        <v>38</v>
      </c>
      <c r="H66">
        <v>44</v>
      </c>
      <c r="I66">
        <v>33</v>
      </c>
      <c r="J66">
        <f t="shared" si="18"/>
        <v>11</v>
      </c>
      <c r="L66" t="str">
        <f t="shared" si="3"/>
        <v/>
      </c>
      <c r="M66" t="s">
        <v>23</v>
      </c>
      <c r="N66">
        <v>20</v>
      </c>
      <c r="O66">
        <v>9</v>
      </c>
      <c r="P66">
        <v>7</v>
      </c>
      <c r="Q66">
        <f t="shared" si="19"/>
        <v>4</v>
      </c>
      <c r="R66">
        <f t="shared" si="16"/>
        <v>34</v>
      </c>
      <c r="S66">
        <v>34</v>
      </c>
      <c r="T66">
        <v>19</v>
      </c>
      <c r="U66">
        <f t="shared" si="20"/>
        <v>15</v>
      </c>
    </row>
    <row r="67" spans="1:21" x14ac:dyDescent="0.3">
      <c r="B67" t="s">
        <v>55</v>
      </c>
      <c r="C67">
        <v>23</v>
      </c>
      <c r="D67">
        <v>10</v>
      </c>
      <c r="E67">
        <v>4</v>
      </c>
      <c r="F67">
        <v>9</v>
      </c>
      <c r="G67">
        <f t="shared" si="17"/>
        <v>34</v>
      </c>
      <c r="H67">
        <v>54</v>
      </c>
      <c r="I67">
        <v>42</v>
      </c>
      <c r="J67">
        <f t="shared" si="18"/>
        <v>12</v>
      </c>
      <c r="L67" t="str">
        <f t="shared" si="3"/>
        <v/>
      </c>
      <c r="M67" t="s">
        <v>47</v>
      </c>
      <c r="N67">
        <v>22</v>
      </c>
      <c r="O67">
        <v>8</v>
      </c>
      <c r="P67">
        <v>8</v>
      </c>
      <c r="Q67">
        <f t="shared" si="19"/>
        <v>6</v>
      </c>
      <c r="R67">
        <f>O67*3+P67*1</f>
        <v>32</v>
      </c>
      <c r="S67">
        <v>35</v>
      </c>
      <c r="T67">
        <v>39</v>
      </c>
      <c r="U67">
        <f t="shared" si="20"/>
        <v>-4</v>
      </c>
    </row>
    <row r="68" spans="1:21" x14ac:dyDescent="0.3">
      <c r="B68" t="s">
        <v>66</v>
      </c>
      <c r="C68">
        <v>23</v>
      </c>
      <c r="D68">
        <v>10</v>
      </c>
      <c r="E68">
        <v>4</v>
      </c>
      <c r="F68">
        <v>9</v>
      </c>
      <c r="G68">
        <f t="shared" si="17"/>
        <v>34</v>
      </c>
      <c r="H68">
        <v>37</v>
      </c>
      <c r="I68">
        <v>38</v>
      </c>
      <c r="J68">
        <f t="shared" si="18"/>
        <v>-1</v>
      </c>
      <c r="L68" t="str">
        <f t="shared" si="3"/>
        <v/>
      </c>
      <c r="M68" t="s">
        <v>28</v>
      </c>
      <c r="N68">
        <v>22</v>
      </c>
      <c r="O68">
        <v>8</v>
      </c>
      <c r="P68">
        <v>7</v>
      </c>
      <c r="Q68">
        <f t="shared" si="19"/>
        <v>7</v>
      </c>
      <c r="R68">
        <f t="shared" si="16"/>
        <v>31</v>
      </c>
      <c r="S68">
        <v>30</v>
      </c>
      <c r="T68">
        <v>27</v>
      </c>
      <c r="U68">
        <f t="shared" si="20"/>
        <v>3</v>
      </c>
    </row>
    <row r="69" spans="1:21" x14ac:dyDescent="0.3">
      <c r="B69" t="s">
        <v>56</v>
      </c>
      <c r="C69">
        <v>22</v>
      </c>
      <c r="D69">
        <v>9</v>
      </c>
      <c r="E69">
        <v>4</v>
      </c>
      <c r="F69">
        <v>9</v>
      </c>
      <c r="G69">
        <f t="shared" si="17"/>
        <v>31</v>
      </c>
      <c r="H69">
        <v>31</v>
      </c>
      <c r="I69">
        <v>38</v>
      </c>
      <c r="J69">
        <f t="shared" si="18"/>
        <v>-7</v>
      </c>
      <c r="L69" t="str">
        <f t="shared" ref="L69:L132" si="21">IF(A69="","",A69)</f>
        <v/>
      </c>
      <c r="M69" t="s">
        <v>63</v>
      </c>
      <c r="N69">
        <v>22</v>
      </c>
      <c r="O69">
        <v>8</v>
      </c>
      <c r="P69">
        <v>5</v>
      </c>
      <c r="Q69">
        <f t="shared" si="19"/>
        <v>9</v>
      </c>
      <c r="R69">
        <f t="shared" si="16"/>
        <v>29</v>
      </c>
      <c r="S69">
        <v>38</v>
      </c>
      <c r="T69">
        <v>38</v>
      </c>
      <c r="U69">
        <f t="shared" si="20"/>
        <v>0</v>
      </c>
    </row>
    <row r="70" spans="1:21" x14ac:dyDescent="0.3">
      <c r="B70" t="s">
        <v>67</v>
      </c>
      <c r="C70">
        <v>23</v>
      </c>
      <c r="D70">
        <v>9</v>
      </c>
      <c r="E70">
        <v>4</v>
      </c>
      <c r="F70">
        <v>10</v>
      </c>
      <c r="G70">
        <f t="shared" si="17"/>
        <v>31</v>
      </c>
      <c r="H70">
        <v>50</v>
      </c>
      <c r="I70">
        <v>40</v>
      </c>
      <c r="J70">
        <f t="shared" si="18"/>
        <v>10</v>
      </c>
      <c r="L70" t="str">
        <f t="shared" si="21"/>
        <v/>
      </c>
      <c r="M70" t="s">
        <v>27</v>
      </c>
      <c r="N70">
        <v>22</v>
      </c>
      <c r="O70">
        <v>8</v>
      </c>
      <c r="P70">
        <v>5</v>
      </c>
      <c r="Q70">
        <f t="shared" si="19"/>
        <v>9</v>
      </c>
      <c r="R70">
        <f t="shared" si="16"/>
        <v>29</v>
      </c>
      <c r="S70">
        <v>34</v>
      </c>
      <c r="T70">
        <v>39</v>
      </c>
      <c r="U70">
        <f t="shared" si="20"/>
        <v>-5</v>
      </c>
    </row>
    <row r="71" spans="1:21" x14ac:dyDescent="0.3">
      <c r="B71" t="s">
        <v>14</v>
      </c>
      <c r="C71">
        <v>23</v>
      </c>
      <c r="D71">
        <v>9</v>
      </c>
      <c r="E71">
        <v>4</v>
      </c>
      <c r="F71">
        <v>10</v>
      </c>
      <c r="G71">
        <f t="shared" si="17"/>
        <v>31</v>
      </c>
      <c r="H71">
        <v>54</v>
      </c>
      <c r="I71">
        <v>48</v>
      </c>
      <c r="J71">
        <f t="shared" si="18"/>
        <v>6</v>
      </c>
      <c r="L71" t="str">
        <f t="shared" si="21"/>
        <v/>
      </c>
      <c r="M71" t="s">
        <v>24</v>
      </c>
      <c r="N71">
        <v>21</v>
      </c>
      <c r="O71">
        <v>8</v>
      </c>
      <c r="P71">
        <v>3</v>
      </c>
      <c r="Q71">
        <f t="shared" si="19"/>
        <v>10</v>
      </c>
      <c r="R71">
        <f t="shared" si="16"/>
        <v>27</v>
      </c>
      <c r="S71">
        <v>35</v>
      </c>
      <c r="T71">
        <v>38</v>
      </c>
      <c r="U71">
        <f t="shared" si="20"/>
        <v>-3</v>
      </c>
    </row>
    <row r="72" spans="1:21" x14ac:dyDescent="0.3">
      <c r="B72" t="s">
        <v>61</v>
      </c>
      <c r="C72">
        <v>23</v>
      </c>
      <c r="D72">
        <v>9</v>
      </c>
      <c r="E72">
        <v>4</v>
      </c>
      <c r="F72">
        <v>10</v>
      </c>
      <c r="G72">
        <f t="shared" si="17"/>
        <v>31</v>
      </c>
      <c r="H72">
        <v>33</v>
      </c>
      <c r="I72">
        <v>44</v>
      </c>
      <c r="J72">
        <f t="shared" si="18"/>
        <v>-11</v>
      </c>
      <c r="L72" t="str">
        <f t="shared" si="21"/>
        <v/>
      </c>
      <c r="M72" t="s">
        <v>72</v>
      </c>
      <c r="N72">
        <v>22</v>
      </c>
      <c r="O72">
        <v>7</v>
      </c>
      <c r="P72">
        <v>6</v>
      </c>
      <c r="Q72">
        <f t="shared" si="19"/>
        <v>9</v>
      </c>
      <c r="R72">
        <f t="shared" si="16"/>
        <v>27</v>
      </c>
      <c r="S72">
        <v>31</v>
      </c>
      <c r="T72">
        <v>31</v>
      </c>
      <c r="U72">
        <f t="shared" si="20"/>
        <v>0</v>
      </c>
    </row>
    <row r="73" spans="1:21" x14ac:dyDescent="0.3">
      <c r="B73" t="s">
        <v>68</v>
      </c>
      <c r="C73">
        <v>22</v>
      </c>
      <c r="D73">
        <v>8</v>
      </c>
      <c r="E73">
        <v>4</v>
      </c>
      <c r="F73">
        <v>10</v>
      </c>
      <c r="G73">
        <f t="shared" si="17"/>
        <v>28</v>
      </c>
      <c r="H73">
        <v>47</v>
      </c>
      <c r="I73">
        <v>48</v>
      </c>
      <c r="J73">
        <f t="shared" si="18"/>
        <v>-1</v>
      </c>
      <c r="L73" t="str">
        <f t="shared" si="21"/>
        <v/>
      </c>
      <c r="M73" t="s">
        <v>73</v>
      </c>
      <c r="N73">
        <v>22</v>
      </c>
      <c r="O73">
        <v>7</v>
      </c>
      <c r="P73">
        <v>6</v>
      </c>
      <c r="Q73">
        <f t="shared" si="19"/>
        <v>9</v>
      </c>
      <c r="R73">
        <f t="shared" si="16"/>
        <v>27</v>
      </c>
      <c r="S73">
        <v>28</v>
      </c>
      <c r="T73">
        <v>33</v>
      </c>
      <c r="U73">
        <f t="shared" si="20"/>
        <v>-5</v>
      </c>
    </row>
    <row r="74" spans="1:21" x14ac:dyDescent="0.3">
      <c r="B74" t="s">
        <v>16</v>
      </c>
      <c r="C74">
        <v>22</v>
      </c>
      <c r="D74">
        <v>7</v>
      </c>
      <c r="E74">
        <v>7</v>
      </c>
      <c r="F74">
        <v>8</v>
      </c>
      <c r="G74">
        <f t="shared" si="17"/>
        <v>28</v>
      </c>
      <c r="H74">
        <v>41</v>
      </c>
      <c r="I74">
        <v>42</v>
      </c>
      <c r="J74">
        <f t="shared" si="18"/>
        <v>-1</v>
      </c>
      <c r="L74" t="str">
        <f t="shared" si="21"/>
        <v/>
      </c>
      <c r="M74" t="s">
        <v>74</v>
      </c>
      <c r="N74">
        <v>21</v>
      </c>
      <c r="O74">
        <v>7</v>
      </c>
      <c r="P74">
        <v>5</v>
      </c>
      <c r="Q74">
        <f t="shared" si="19"/>
        <v>9</v>
      </c>
      <c r="R74">
        <f t="shared" si="16"/>
        <v>26</v>
      </c>
      <c r="S74">
        <v>29</v>
      </c>
      <c r="T74">
        <v>26</v>
      </c>
      <c r="U74">
        <f t="shared" si="20"/>
        <v>3</v>
      </c>
    </row>
    <row r="75" spans="1:21" x14ac:dyDescent="0.3">
      <c r="B75" s="3" t="s">
        <v>69</v>
      </c>
      <c r="C75" s="3">
        <v>23</v>
      </c>
      <c r="D75" s="3">
        <v>7</v>
      </c>
      <c r="E75" s="3">
        <v>6</v>
      </c>
      <c r="F75" s="3">
        <v>10</v>
      </c>
      <c r="G75" s="3">
        <f t="shared" si="17"/>
        <v>27</v>
      </c>
      <c r="H75" s="3">
        <v>36</v>
      </c>
      <c r="I75" s="3">
        <v>53</v>
      </c>
      <c r="J75" s="3">
        <f t="shared" si="18"/>
        <v>-17</v>
      </c>
      <c r="L75" t="str">
        <f t="shared" si="21"/>
        <v/>
      </c>
      <c r="M75" s="3" t="s">
        <v>22</v>
      </c>
      <c r="N75" s="3">
        <v>22</v>
      </c>
      <c r="O75" s="3">
        <v>6</v>
      </c>
      <c r="P75" s="3">
        <v>6</v>
      </c>
      <c r="Q75" s="3">
        <f>N75-O75-P75</f>
        <v>10</v>
      </c>
      <c r="R75" s="3">
        <f>O75*3+P75*1</f>
        <v>24</v>
      </c>
      <c r="S75" s="3">
        <v>31</v>
      </c>
      <c r="T75" s="3">
        <v>40</v>
      </c>
      <c r="U75" s="3">
        <f>S75-T75</f>
        <v>-9</v>
      </c>
    </row>
    <row r="76" spans="1:21" x14ac:dyDescent="0.3">
      <c r="B76" s="3" t="s">
        <v>40</v>
      </c>
      <c r="C76" s="3">
        <v>23</v>
      </c>
      <c r="D76" s="3">
        <v>6</v>
      </c>
      <c r="E76" s="3">
        <v>4</v>
      </c>
      <c r="F76" s="3">
        <v>13</v>
      </c>
      <c r="G76" s="3">
        <f t="shared" si="17"/>
        <v>22</v>
      </c>
      <c r="H76" s="3">
        <v>45</v>
      </c>
      <c r="I76" s="3">
        <v>55</v>
      </c>
      <c r="J76" s="3">
        <f t="shared" si="18"/>
        <v>-10</v>
      </c>
      <c r="L76" t="str">
        <f t="shared" si="21"/>
        <v/>
      </c>
      <c r="M76" s="3" t="s">
        <v>49</v>
      </c>
      <c r="N76" s="3">
        <v>21</v>
      </c>
      <c r="O76" s="3">
        <v>5</v>
      </c>
      <c r="P76" s="3">
        <v>6</v>
      </c>
      <c r="Q76" s="3">
        <f>N76-O76-P76</f>
        <v>10</v>
      </c>
      <c r="R76" s="3">
        <f>O76*3+P76*1</f>
        <v>21</v>
      </c>
      <c r="S76" s="3">
        <v>29</v>
      </c>
      <c r="T76" s="3">
        <v>35</v>
      </c>
      <c r="U76" s="3">
        <f>S76-T76</f>
        <v>-6</v>
      </c>
    </row>
    <row r="77" spans="1:21" x14ac:dyDescent="0.3">
      <c r="B77" s="4" t="s">
        <v>13</v>
      </c>
      <c r="C77" s="4">
        <v>23</v>
      </c>
      <c r="D77" s="4">
        <v>2</v>
      </c>
      <c r="E77" s="4">
        <v>6</v>
      </c>
      <c r="F77" s="4">
        <v>15</v>
      </c>
      <c r="G77" s="4">
        <f t="shared" si="17"/>
        <v>12</v>
      </c>
      <c r="H77" s="4">
        <v>32</v>
      </c>
      <c r="I77" s="4">
        <v>72</v>
      </c>
      <c r="J77" s="4">
        <f t="shared" si="18"/>
        <v>-40</v>
      </c>
      <c r="L77" t="str">
        <f t="shared" si="21"/>
        <v/>
      </c>
      <c r="M77" s="4" t="s">
        <v>75</v>
      </c>
      <c r="N77" s="4">
        <v>21</v>
      </c>
      <c r="O77" s="4">
        <v>4</v>
      </c>
      <c r="P77" s="4">
        <v>6</v>
      </c>
      <c r="Q77" s="4">
        <f>N77-O77-P77</f>
        <v>11</v>
      </c>
      <c r="R77" s="4">
        <f>O77*3+P77*1</f>
        <v>18</v>
      </c>
      <c r="S77" s="4">
        <v>17</v>
      </c>
      <c r="T77" s="4">
        <v>39</v>
      </c>
      <c r="U77" s="4">
        <f>S77-T77</f>
        <v>-22</v>
      </c>
    </row>
    <row r="78" spans="1:21" x14ac:dyDescent="0.3">
      <c r="B78" s="4" t="s">
        <v>10</v>
      </c>
      <c r="C78" s="4">
        <v>22</v>
      </c>
      <c r="D78" s="4">
        <v>2</v>
      </c>
      <c r="E78" s="4">
        <v>5</v>
      </c>
      <c r="F78" s="4">
        <v>15</v>
      </c>
      <c r="G78" s="4">
        <f t="shared" si="17"/>
        <v>11</v>
      </c>
      <c r="H78" s="4">
        <v>26</v>
      </c>
      <c r="I78" s="4">
        <v>59</v>
      </c>
      <c r="J78" s="4">
        <f t="shared" si="18"/>
        <v>-33</v>
      </c>
      <c r="L78" t="str">
        <f t="shared" si="21"/>
        <v/>
      </c>
      <c r="M78" s="4" t="s">
        <v>76</v>
      </c>
      <c r="N78" s="4">
        <v>22</v>
      </c>
      <c r="O78" s="4">
        <v>3</v>
      </c>
      <c r="P78" s="4">
        <v>8</v>
      </c>
      <c r="Q78" s="4">
        <f>N78-O78-P78</f>
        <v>11</v>
      </c>
      <c r="R78" s="4">
        <f>O78*3+P78*1</f>
        <v>17</v>
      </c>
      <c r="S78" s="4">
        <v>31</v>
      </c>
      <c r="T78" s="4">
        <v>51</v>
      </c>
      <c r="U78" s="4">
        <f>S78-T78</f>
        <v>-20</v>
      </c>
    </row>
    <row r="79" spans="1:21" x14ac:dyDescent="0.3">
      <c r="L79" t="str">
        <f t="shared" si="21"/>
        <v/>
      </c>
    </row>
    <row r="80" spans="1:21" x14ac:dyDescent="0.3">
      <c r="A80" t="s">
        <v>144</v>
      </c>
      <c r="B80" s="1" t="s">
        <v>16</v>
      </c>
      <c r="C80" s="1">
        <v>6</v>
      </c>
      <c r="D80" s="1">
        <v>4</v>
      </c>
      <c r="E80" s="1">
        <v>1</v>
      </c>
      <c r="F80" s="1">
        <v>1</v>
      </c>
      <c r="G80" s="1">
        <f>D80*3+E80</f>
        <v>13</v>
      </c>
      <c r="H80" s="1">
        <v>13</v>
      </c>
      <c r="I80" s="1">
        <v>5</v>
      </c>
      <c r="J80" s="1">
        <f>H80-I80</f>
        <v>8</v>
      </c>
      <c r="L80" t="str">
        <f t="shared" si="21"/>
        <v>2020/21</v>
      </c>
      <c r="M80" s="1" t="s">
        <v>24</v>
      </c>
      <c r="N80" s="1">
        <v>5</v>
      </c>
      <c r="O80" s="1">
        <v>4</v>
      </c>
      <c r="P80" s="1">
        <v>1</v>
      </c>
      <c r="Q80" s="1">
        <f>N80-O80-P80</f>
        <v>0</v>
      </c>
      <c r="R80" s="1">
        <f t="shared" ref="R80:R97" si="22">O80*3+P80*1</f>
        <v>13</v>
      </c>
      <c r="S80" s="1">
        <v>12</v>
      </c>
      <c r="T80" s="1">
        <v>2</v>
      </c>
      <c r="U80" s="1">
        <f>S80-T80</f>
        <v>10</v>
      </c>
    </row>
    <row r="81" spans="2:21" x14ac:dyDescent="0.3">
      <c r="B81" s="7" t="s">
        <v>2</v>
      </c>
      <c r="C81" s="7">
        <v>5</v>
      </c>
      <c r="D81" s="7">
        <v>3</v>
      </c>
      <c r="E81" s="7">
        <v>1</v>
      </c>
      <c r="F81" s="7">
        <v>1</v>
      </c>
      <c r="G81" s="7">
        <f t="shared" ref="G81:G97" si="23">D81*3+E81</f>
        <v>10</v>
      </c>
      <c r="H81" s="7">
        <v>11</v>
      </c>
      <c r="I81" s="7">
        <v>7</v>
      </c>
      <c r="J81" s="7">
        <f t="shared" ref="J81:J97" si="24">H81-I81</f>
        <v>4</v>
      </c>
      <c r="L81" t="str">
        <f t="shared" si="21"/>
        <v/>
      </c>
      <c r="M81" s="2" t="s">
        <v>63</v>
      </c>
      <c r="N81" s="2">
        <v>6</v>
      </c>
      <c r="O81" s="2">
        <v>4</v>
      </c>
      <c r="P81" s="2">
        <v>1</v>
      </c>
      <c r="Q81" s="2">
        <f t="shared" ref="Q81:Q97" si="25">N81-O81-P81</f>
        <v>1</v>
      </c>
      <c r="R81" s="2">
        <f t="shared" si="22"/>
        <v>13</v>
      </c>
      <c r="S81" s="2">
        <v>17</v>
      </c>
      <c r="T81" s="2">
        <v>8</v>
      </c>
      <c r="U81" s="2">
        <f t="shared" ref="U81:U97" si="26">S81-T81</f>
        <v>9</v>
      </c>
    </row>
    <row r="82" spans="2:21" x14ac:dyDescent="0.3">
      <c r="B82" s="7" t="s">
        <v>65</v>
      </c>
      <c r="C82" s="7">
        <v>5</v>
      </c>
      <c r="D82" s="7">
        <v>3</v>
      </c>
      <c r="E82" s="7">
        <v>1</v>
      </c>
      <c r="F82" s="7">
        <v>1</v>
      </c>
      <c r="G82" s="7">
        <f t="shared" si="23"/>
        <v>10</v>
      </c>
      <c r="H82" s="7">
        <v>9</v>
      </c>
      <c r="I82" s="7">
        <v>5</v>
      </c>
      <c r="J82" s="7">
        <f t="shared" si="24"/>
        <v>4</v>
      </c>
      <c r="L82" t="str">
        <f t="shared" si="21"/>
        <v/>
      </c>
      <c r="M82" s="2" t="s">
        <v>30</v>
      </c>
      <c r="N82" s="2">
        <v>5</v>
      </c>
      <c r="O82" s="2">
        <v>3</v>
      </c>
      <c r="P82" s="2">
        <v>1</v>
      </c>
      <c r="Q82" s="2">
        <f t="shared" si="25"/>
        <v>1</v>
      </c>
      <c r="R82" s="2">
        <f t="shared" si="22"/>
        <v>10</v>
      </c>
      <c r="S82" s="2">
        <v>10</v>
      </c>
      <c r="T82" s="2">
        <v>7</v>
      </c>
      <c r="U82" s="2">
        <f t="shared" si="26"/>
        <v>3</v>
      </c>
    </row>
    <row r="83" spans="2:21" x14ac:dyDescent="0.3">
      <c r="B83" s="7" t="s">
        <v>67</v>
      </c>
      <c r="C83" s="7">
        <v>5</v>
      </c>
      <c r="D83" s="7">
        <v>3</v>
      </c>
      <c r="E83" s="7">
        <v>1</v>
      </c>
      <c r="F83" s="7">
        <v>1</v>
      </c>
      <c r="G83" s="7">
        <f t="shared" si="23"/>
        <v>10</v>
      </c>
      <c r="H83" s="7">
        <v>8</v>
      </c>
      <c r="I83" s="7">
        <v>5</v>
      </c>
      <c r="J83" s="7">
        <f t="shared" si="24"/>
        <v>3</v>
      </c>
      <c r="L83" t="str">
        <f t="shared" si="21"/>
        <v/>
      </c>
      <c r="M83" s="2" t="s">
        <v>73</v>
      </c>
      <c r="N83" s="2">
        <v>5</v>
      </c>
      <c r="O83" s="2">
        <v>3</v>
      </c>
      <c r="P83" s="2">
        <v>1</v>
      </c>
      <c r="Q83" s="2">
        <f t="shared" si="25"/>
        <v>1</v>
      </c>
      <c r="R83" s="2">
        <f t="shared" si="22"/>
        <v>10</v>
      </c>
      <c r="S83" s="2">
        <v>9</v>
      </c>
      <c r="T83" s="2">
        <v>6</v>
      </c>
      <c r="U83" s="2">
        <f t="shared" si="26"/>
        <v>3</v>
      </c>
    </row>
    <row r="84" spans="2:21" x14ac:dyDescent="0.3">
      <c r="B84" t="s">
        <v>68</v>
      </c>
      <c r="C84">
        <v>5</v>
      </c>
      <c r="D84">
        <v>2</v>
      </c>
      <c r="E84">
        <v>3</v>
      </c>
      <c r="F84">
        <v>0</v>
      </c>
      <c r="G84">
        <f t="shared" si="23"/>
        <v>9</v>
      </c>
      <c r="H84">
        <v>10</v>
      </c>
      <c r="I84">
        <v>7</v>
      </c>
      <c r="J84">
        <f t="shared" si="24"/>
        <v>3</v>
      </c>
      <c r="L84" t="str">
        <f t="shared" si="21"/>
        <v/>
      </c>
      <c r="M84" t="s">
        <v>62</v>
      </c>
      <c r="N84">
        <v>6</v>
      </c>
      <c r="O84">
        <v>3</v>
      </c>
      <c r="P84">
        <v>1</v>
      </c>
      <c r="Q84">
        <f t="shared" si="25"/>
        <v>2</v>
      </c>
      <c r="R84">
        <f t="shared" si="22"/>
        <v>10</v>
      </c>
      <c r="S84">
        <v>10</v>
      </c>
      <c r="T84">
        <v>11</v>
      </c>
      <c r="U84">
        <f t="shared" si="26"/>
        <v>-1</v>
      </c>
    </row>
    <row r="85" spans="2:21" x14ac:dyDescent="0.3">
      <c r="B85" t="s">
        <v>77</v>
      </c>
      <c r="C85">
        <v>5</v>
      </c>
      <c r="D85">
        <v>3</v>
      </c>
      <c r="E85">
        <v>0</v>
      </c>
      <c r="F85">
        <v>2</v>
      </c>
      <c r="G85">
        <f t="shared" si="23"/>
        <v>9</v>
      </c>
      <c r="H85">
        <v>6</v>
      </c>
      <c r="I85">
        <v>5</v>
      </c>
      <c r="J85">
        <f t="shared" si="24"/>
        <v>1</v>
      </c>
      <c r="L85" t="str">
        <f t="shared" si="21"/>
        <v/>
      </c>
      <c r="M85" t="s">
        <v>47</v>
      </c>
      <c r="N85">
        <v>6</v>
      </c>
      <c r="O85">
        <v>2</v>
      </c>
      <c r="P85">
        <v>2</v>
      </c>
      <c r="Q85">
        <f t="shared" si="25"/>
        <v>2</v>
      </c>
      <c r="R85">
        <f>O85*3+P85*1</f>
        <v>8</v>
      </c>
      <c r="S85">
        <v>15</v>
      </c>
      <c r="T85">
        <v>9</v>
      </c>
      <c r="U85">
        <f t="shared" si="26"/>
        <v>6</v>
      </c>
    </row>
    <row r="86" spans="2:21" x14ac:dyDescent="0.3">
      <c r="B86" t="s">
        <v>66</v>
      </c>
      <c r="C86">
        <v>5</v>
      </c>
      <c r="D86">
        <v>2</v>
      </c>
      <c r="E86">
        <v>2</v>
      </c>
      <c r="F86">
        <v>1</v>
      </c>
      <c r="G86">
        <f t="shared" si="23"/>
        <v>8</v>
      </c>
      <c r="H86">
        <v>7</v>
      </c>
      <c r="I86">
        <v>8</v>
      </c>
      <c r="J86">
        <f t="shared" si="24"/>
        <v>-1</v>
      </c>
      <c r="L86" t="str">
        <f t="shared" si="21"/>
        <v/>
      </c>
      <c r="M86" t="s">
        <v>80</v>
      </c>
      <c r="N86">
        <v>6</v>
      </c>
      <c r="O86">
        <v>2</v>
      </c>
      <c r="P86">
        <v>2</v>
      </c>
      <c r="Q86">
        <f t="shared" si="25"/>
        <v>2</v>
      </c>
      <c r="R86">
        <f t="shared" si="22"/>
        <v>8</v>
      </c>
      <c r="S86">
        <v>13</v>
      </c>
      <c r="T86">
        <v>8</v>
      </c>
      <c r="U86">
        <f t="shared" si="26"/>
        <v>5</v>
      </c>
    </row>
    <row r="87" spans="2:21" x14ac:dyDescent="0.3">
      <c r="B87" t="s">
        <v>55</v>
      </c>
      <c r="C87">
        <v>6</v>
      </c>
      <c r="D87">
        <v>2</v>
      </c>
      <c r="E87">
        <v>2</v>
      </c>
      <c r="F87">
        <v>2</v>
      </c>
      <c r="G87">
        <f t="shared" si="23"/>
        <v>8</v>
      </c>
      <c r="H87">
        <v>11</v>
      </c>
      <c r="I87">
        <v>9</v>
      </c>
      <c r="J87">
        <f t="shared" si="24"/>
        <v>2</v>
      </c>
      <c r="L87" t="str">
        <f t="shared" si="21"/>
        <v/>
      </c>
      <c r="M87" t="s">
        <v>81</v>
      </c>
      <c r="N87">
        <v>5</v>
      </c>
      <c r="O87">
        <v>2</v>
      </c>
      <c r="P87">
        <v>1</v>
      </c>
      <c r="Q87">
        <f t="shared" si="25"/>
        <v>2</v>
      </c>
      <c r="R87">
        <f t="shared" si="22"/>
        <v>7</v>
      </c>
      <c r="S87">
        <v>6</v>
      </c>
      <c r="T87">
        <v>7</v>
      </c>
      <c r="U87">
        <f t="shared" si="26"/>
        <v>-1</v>
      </c>
    </row>
    <row r="88" spans="2:21" x14ac:dyDescent="0.3">
      <c r="B88" t="s">
        <v>8</v>
      </c>
      <c r="C88">
        <v>3</v>
      </c>
      <c r="D88">
        <v>2</v>
      </c>
      <c r="E88">
        <v>1</v>
      </c>
      <c r="F88">
        <v>0</v>
      </c>
      <c r="G88">
        <f t="shared" si="23"/>
        <v>7</v>
      </c>
      <c r="H88">
        <v>5</v>
      </c>
      <c r="I88">
        <v>2</v>
      </c>
      <c r="J88">
        <f t="shared" si="24"/>
        <v>3</v>
      </c>
      <c r="L88" t="str">
        <f t="shared" si="21"/>
        <v/>
      </c>
      <c r="M88" t="s">
        <v>22</v>
      </c>
      <c r="N88">
        <v>6</v>
      </c>
      <c r="O88">
        <v>2</v>
      </c>
      <c r="P88">
        <v>1</v>
      </c>
      <c r="Q88">
        <f t="shared" si="25"/>
        <v>3</v>
      </c>
      <c r="R88">
        <f t="shared" si="22"/>
        <v>7</v>
      </c>
      <c r="S88">
        <v>10</v>
      </c>
      <c r="T88">
        <v>11</v>
      </c>
      <c r="U88">
        <f t="shared" si="26"/>
        <v>-1</v>
      </c>
    </row>
    <row r="89" spans="2:21" x14ac:dyDescent="0.3">
      <c r="B89" t="s">
        <v>40</v>
      </c>
      <c r="C89">
        <v>5</v>
      </c>
      <c r="D89">
        <v>2</v>
      </c>
      <c r="E89">
        <v>1</v>
      </c>
      <c r="F89">
        <v>2</v>
      </c>
      <c r="G89">
        <f t="shared" si="23"/>
        <v>7</v>
      </c>
      <c r="H89">
        <v>16</v>
      </c>
      <c r="I89">
        <v>8</v>
      </c>
      <c r="J89">
        <f t="shared" si="24"/>
        <v>8</v>
      </c>
      <c r="L89" t="str">
        <f t="shared" si="21"/>
        <v/>
      </c>
      <c r="M89" t="s">
        <v>71</v>
      </c>
      <c r="N89">
        <v>6</v>
      </c>
      <c r="O89">
        <v>2</v>
      </c>
      <c r="P89">
        <v>1</v>
      </c>
      <c r="Q89">
        <f t="shared" si="25"/>
        <v>3</v>
      </c>
      <c r="R89">
        <f t="shared" si="22"/>
        <v>7</v>
      </c>
      <c r="S89">
        <v>6</v>
      </c>
      <c r="T89">
        <v>10</v>
      </c>
      <c r="U89">
        <f t="shared" si="26"/>
        <v>-4</v>
      </c>
    </row>
    <row r="90" spans="2:21" x14ac:dyDescent="0.3">
      <c r="B90" t="s">
        <v>15</v>
      </c>
      <c r="C90">
        <v>4</v>
      </c>
      <c r="D90">
        <v>2</v>
      </c>
      <c r="E90">
        <v>0</v>
      </c>
      <c r="F90">
        <v>2</v>
      </c>
      <c r="G90">
        <f t="shared" si="23"/>
        <v>6</v>
      </c>
      <c r="H90">
        <v>6</v>
      </c>
      <c r="I90">
        <v>6</v>
      </c>
      <c r="J90">
        <f t="shared" si="24"/>
        <v>0</v>
      </c>
      <c r="L90" t="str">
        <f t="shared" si="21"/>
        <v/>
      </c>
      <c r="M90" t="s">
        <v>82</v>
      </c>
      <c r="N90">
        <v>6</v>
      </c>
      <c r="O90">
        <v>2</v>
      </c>
      <c r="P90">
        <v>1</v>
      </c>
      <c r="Q90">
        <f t="shared" si="25"/>
        <v>3</v>
      </c>
      <c r="R90">
        <f t="shared" si="22"/>
        <v>7</v>
      </c>
      <c r="S90">
        <v>4</v>
      </c>
      <c r="T90">
        <v>9</v>
      </c>
      <c r="U90">
        <f t="shared" si="26"/>
        <v>-5</v>
      </c>
    </row>
    <row r="91" spans="2:21" x14ac:dyDescent="0.3">
      <c r="B91" t="s">
        <v>56</v>
      </c>
      <c r="C91">
        <v>5</v>
      </c>
      <c r="D91">
        <v>2</v>
      </c>
      <c r="E91">
        <v>0</v>
      </c>
      <c r="F91">
        <v>3</v>
      </c>
      <c r="G91">
        <f t="shared" si="23"/>
        <v>6</v>
      </c>
      <c r="H91">
        <v>11</v>
      </c>
      <c r="I91">
        <v>21</v>
      </c>
      <c r="J91">
        <f t="shared" si="24"/>
        <v>-10</v>
      </c>
      <c r="L91" t="str">
        <f t="shared" si="21"/>
        <v/>
      </c>
      <c r="M91" t="s">
        <v>74</v>
      </c>
      <c r="N91">
        <v>5</v>
      </c>
      <c r="O91">
        <v>1</v>
      </c>
      <c r="P91">
        <v>3</v>
      </c>
      <c r="Q91">
        <f t="shared" si="25"/>
        <v>1</v>
      </c>
      <c r="R91">
        <f t="shared" si="22"/>
        <v>6</v>
      </c>
      <c r="S91">
        <v>9</v>
      </c>
      <c r="T91">
        <v>7</v>
      </c>
      <c r="U91">
        <f t="shared" si="26"/>
        <v>2</v>
      </c>
    </row>
    <row r="92" spans="2:21" x14ac:dyDescent="0.3">
      <c r="B92" t="s">
        <v>78</v>
      </c>
      <c r="C92">
        <v>6</v>
      </c>
      <c r="D92">
        <v>2</v>
      </c>
      <c r="E92">
        <v>0</v>
      </c>
      <c r="F92">
        <v>4</v>
      </c>
      <c r="G92">
        <f t="shared" si="23"/>
        <v>6</v>
      </c>
      <c r="H92">
        <v>12</v>
      </c>
      <c r="I92">
        <v>14</v>
      </c>
      <c r="J92">
        <f t="shared" si="24"/>
        <v>-2</v>
      </c>
      <c r="L92" t="str">
        <f t="shared" si="21"/>
        <v/>
      </c>
      <c r="M92" t="s">
        <v>28</v>
      </c>
      <c r="N92">
        <v>5</v>
      </c>
      <c r="O92">
        <v>1</v>
      </c>
      <c r="P92">
        <v>3</v>
      </c>
      <c r="Q92">
        <f t="shared" si="25"/>
        <v>1</v>
      </c>
      <c r="R92">
        <f t="shared" si="22"/>
        <v>6</v>
      </c>
      <c r="S92">
        <v>2</v>
      </c>
      <c r="T92">
        <v>6</v>
      </c>
      <c r="U92">
        <f t="shared" si="26"/>
        <v>-4</v>
      </c>
    </row>
    <row r="93" spans="2:21" x14ac:dyDescent="0.3">
      <c r="B93" t="s">
        <v>10</v>
      </c>
      <c r="C93">
        <v>4</v>
      </c>
      <c r="D93">
        <v>1</v>
      </c>
      <c r="E93">
        <v>1</v>
      </c>
      <c r="F93">
        <v>2</v>
      </c>
      <c r="G93">
        <f t="shared" si="23"/>
        <v>4</v>
      </c>
      <c r="H93">
        <v>1</v>
      </c>
      <c r="I93">
        <v>3</v>
      </c>
      <c r="J93">
        <f t="shared" si="24"/>
        <v>-2</v>
      </c>
      <c r="L93" t="str">
        <f t="shared" si="21"/>
        <v/>
      </c>
      <c r="M93" t="s">
        <v>49</v>
      </c>
      <c r="N93">
        <v>6</v>
      </c>
      <c r="O93">
        <v>1</v>
      </c>
      <c r="P93">
        <v>3</v>
      </c>
      <c r="Q93">
        <f t="shared" si="25"/>
        <v>2</v>
      </c>
      <c r="R93">
        <f>O93*3+P93*1</f>
        <v>6</v>
      </c>
      <c r="S93">
        <v>9</v>
      </c>
      <c r="T93">
        <v>8</v>
      </c>
      <c r="U93">
        <f t="shared" si="26"/>
        <v>1</v>
      </c>
    </row>
    <row r="94" spans="2:21" x14ac:dyDescent="0.3">
      <c r="B94" s="3" t="s">
        <v>7</v>
      </c>
      <c r="C94" s="3">
        <v>5</v>
      </c>
      <c r="D94" s="3">
        <v>1</v>
      </c>
      <c r="E94" s="3">
        <v>1</v>
      </c>
      <c r="F94" s="3">
        <v>3</v>
      </c>
      <c r="G94" s="3">
        <f t="shared" si="23"/>
        <v>4</v>
      </c>
      <c r="H94" s="3">
        <v>9</v>
      </c>
      <c r="I94" s="3">
        <v>10</v>
      </c>
      <c r="J94" s="3">
        <f t="shared" si="24"/>
        <v>-1</v>
      </c>
      <c r="L94" t="str">
        <f t="shared" si="21"/>
        <v/>
      </c>
      <c r="M94" s="3" t="s">
        <v>23</v>
      </c>
      <c r="N94" s="3">
        <v>6</v>
      </c>
      <c r="O94" s="3">
        <v>2</v>
      </c>
      <c r="P94" s="3">
        <v>0</v>
      </c>
      <c r="Q94" s="3">
        <f t="shared" si="25"/>
        <v>4</v>
      </c>
      <c r="R94" s="3">
        <f t="shared" si="22"/>
        <v>6</v>
      </c>
      <c r="S94" s="3">
        <v>5</v>
      </c>
      <c r="T94" s="3">
        <v>9</v>
      </c>
      <c r="U94" s="3">
        <f t="shared" si="26"/>
        <v>-4</v>
      </c>
    </row>
    <row r="95" spans="2:21" x14ac:dyDescent="0.3">
      <c r="B95" s="3" t="s">
        <v>69</v>
      </c>
      <c r="C95" s="3">
        <v>5</v>
      </c>
      <c r="D95" s="3">
        <v>1</v>
      </c>
      <c r="E95" s="3">
        <v>1</v>
      </c>
      <c r="F95" s="3">
        <v>3</v>
      </c>
      <c r="G95" s="3">
        <f t="shared" si="23"/>
        <v>4</v>
      </c>
      <c r="H95" s="3">
        <v>6</v>
      </c>
      <c r="I95" s="3">
        <v>9</v>
      </c>
      <c r="J95" s="3">
        <f t="shared" si="24"/>
        <v>-3</v>
      </c>
      <c r="L95" t="str">
        <f t="shared" si="21"/>
        <v/>
      </c>
      <c r="M95" s="3" t="s">
        <v>76</v>
      </c>
      <c r="N95" s="3">
        <v>5</v>
      </c>
      <c r="O95" s="3">
        <v>1</v>
      </c>
      <c r="P95" s="3">
        <v>2</v>
      </c>
      <c r="Q95" s="3">
        <f t="shared" si="25"/>
        <v>2</v>
      </c>
      <c r="R95" s="3">
        <f t="shared" si="22"/>
        <v>5</v>
      </c>
      <c r="S95" s="3">
        <v>8</v>
      </c>
      <c r="T95" s="3">
        <v>11</v>
      </c>
      <c r="U95" s="3">
        <f t="shared" si="26"/>
        <v>-3</v>
      </c>
    </row>
    <row r="96" spans="2:21" x14ac:dyDescent="0.3">
      <c r="B96" s="4" t="s">
        <v>44</v>
      </c>
      <c r="C96" s="4">
        <v>4</v>
      </c>
      <c r="D96" s="4">
        <v>0</v>
      </c>
      <c r="E96" s="4">
        <v>2</v>
      </c>
      <c r="F96" s="4">
        <v>2</v>
      </c>
      <c r="G96" s="4">
        <f t="shared" si="23"/>
        <v>2</v>
      </c>
      <c r="H96" s="4">
        <v>1</v>
      </c>
      <c r="I96" s="4">
        <v>8</v>
      </c>
      <c r="J96" s="4">
        <f t="shared" si="24"/>
        <v>-7</v>
      </c>
      <c r="L96" t="str">
        <f t="shared" si="21"/>
        <v/>
      </c>
      <c r="M96" s="4" t="s">
        <v>72</v>
      </c>
      <c r="N96" s="4">
        <v>5</v>
      </c>
      <c r="O96" s="4">
        <v>1</v>
      </c>
      <c r="P96" s="4">
        <v>2</v>
      </c>
      <c r="Q96" s="4">
        <f t="shared" si="25"/>
        <v>2</v>
      </c>
      <c r="R96" s="4">
        <f t="shared" si="22"/>
        <v>5</v>
      </c>
      <c r="S96" s="4">
        <v>6</v>
      </c>
      <c r="T96" s="4">
        <v>13</v>
      </c>
      <c r="U96" s="4">
        <f t="shared" si="26"/>
        <v>-7</v>
      </c>
    </row>
    <row r="97" spans="1:21" x14ac:dyDescent="0.3">
      <c r="B97" s="4" t="s">
        <v>79</v>
      </c>
      <c r="C97" s="4">
        <v>5</v>
      </c>
      <c r="D97" s="4">
        <v>0</v>
      </c>
      <c r="E97" s="4">
        <v>0</v>
      </c>
      <c r="F97" s="4">
        <v>5</v>
      </c>
      <c r="G97" s="4">
        <f t="shared" si="23"/>
        <v>0</v>
      </c>
      <c r="H97" s="4">
        <v>2</v>
      </c>
      <c r="I97" s="4">
        <v>12</v>
      </c>
      <c r="J97" s="4">
        <f t="shared" si="24"/>
        <v>-10</v>
      </c>
      <c r="L97" t="str">
        <f t="shared" si="21"/>
        <v/>
      </c>
      <c r="M97" s="4" t="s">
        <v>27</v>
      </c>
      <c r="N97" s="4">
        <v>6</v>
      </c>
      <c r="O97" s="4">
        <v>0</v>
      </c>
      <c r="P97" s="4">
        <v>2</v>
      </c>
      <c r="Q97" s="4">
        <f t="shared" si="25"/>
        <v>4</v>
      </c>
      <c r="R97" s="4">
        <f t="shared" si="22"/>
        <v>2</v>
      </c>
      <c r="S97" s="4">
        <v>5</v>
      </c>
      <c r="T97" s="4">
        <v>14</v>
      </c>
      <c r="U97" s="4">
        <f t="shared" si="26"/>
        <v>-9</v>
      </c>
    </row>
    <row r="98" spans="1:21" x14ac:dyDescent="0.3">
      <c r="L98" t="str">
        <f t="shared" si="21"/>
        <v/>
      </c>
    </row>
    <row r="99" spans="1:21" x14ac:dyDescent="0.3">
      <c r="A99" t="s">
        <v>145</v>
      </c>
      <c r="B99" s="1" t="s">
        <v>2</v>
      </c>
      <c r="C99" s="8">
        <v>34</v>
      </c>
      <c r="D99" s="1">
        <v>21</v>
      </c>
      <c r="E99" s="1">
        <v>7</v>
      </c>
      <c r="F99" s="1">
        <v>6</v>
      </c>
      <c r="G99" s="8">
        <f>D99*3+E99</f>
        <v>70</v>
      </c>
      <c r="H99" s="1">
        <v>70</v>
      </c>
      <c r="I99" s="1">
        <v>38</v>
      </c>
      <c r="J99" s="8">
        <f>H99-I99</f>
        <v>32</v>
      </c>
      <c r="K99" s="24"/>
      <c r="L99" t="str">
        <f t="shared" si="21"/>
        <v>2021/22</v>
      </c>
      <c r="M99" s="1" t="s">
        <v>83</v>
      </c>
      <c r="N99" s="14">
        <v>34</v>
      </c>
      <c r="O99" s="14">
        <v>18</v>
      </c>
      <c r="P99" s="14">
        <v>7</v>
      </c>
      <c r="Q99" s="14">
        <f>N99-O99-P99</f>
        <v>9</v>
      </c>
      <c r="R99" s="14">
        <f t="shared" ref="R99:R116" si="27">O99*3+P99*1</f>
        <v>61</v>
      </c>
      <c r="S99" s="14">
        <v>66</v>
      </c>
      <c r="T99" s="14">
        <v>47</v>
      </c>
      <c r="U99" s="14">
        <f>S99-T99</f>
        <v>19</v>
      </c>
    </row>
    <row r="100" spans="1:21" x14ac:dyDescent="0.3">
      <c r="B100" s="9" t="s">
        <v>65</v>
      </c>
      <c r="C100" s="10">
        <v>34</v>
      </c>
      <c r="D100" s="9">
        <v>19</v>
      </c>
      <c r="E100" s="9">
        <v>7</v>
      </c>
      <c r="F100" s="9">
        <v>8</v>
      </c>
      <c r="G100" s="10">
        <f t="shared" ref="G100:G116" si="28">D100*3+E100</f>
        <v>64</v>
      </c>
      <c r="H100" s="9">
        <v>65</v>
      </c>
      <c r="I100" s="9">
        <v>38</v>
      </c>
      <c r="J100" s="10">
        <f t="shared" ref="J100:J116" si="29">H100-I100</f>
        <v>27</v>
      </c>
      <c r="K100" s="24"/>
      <c r="L100" t="str">
        <f t="shared" si="21"/>
        <v/>
      </c>
      <c r="M100" s="2" t="s">
        <v>24</v>
      </c>
      <c r="N100" s="15">
        <v>34</v>
      </c>
      <c r="O100" s="15">
        <v>18</v>
      </c>
      <c r="P100" s="15">
        <v>5</v>
      </c>
      <c r="Q100" s="15">
        <f t="shared" ref="Q100:Q116" si="30">N100-O100-P100</f>
        <v>11</v>
      </c>
      <c r="R100" s="15">
        <f t="shared" si="27"/>
        <v>59</v>
      </c>
      <c r="S100" s="15">
        <v>74</v>
      </c>
      <c r="T100" s="15">
        <v>46</v>
      </c>
      <c r="U100" s="15">
        <f t="shared" ref="U100:U116" si="31">S100-T100</f>
        <v>28</v>
      </c>
    </row>
    <row r="101" spans="1:21" x14ac:dyDescent="0.3">
      <c r="B101" s="9" t="s">
        <v>77</v>
      </c>
      <c r="C101" s="10">
        <v>34</v>
      </c>
      <c r="D101" s="9">
        <v>17</v>
      </c>
      <c r="E101" s="9">
        <v>7</v>
      </c>
      <c r="F101" s="9">
        <v>10</v>
      </c>
      <c r="G101" s="10">
        <f t="shared" si="28"/>
        <v>58</v>
      </c>
      <c r="H101" s="9">
        <v>63</v>
      </c>
      <c r="I101" s="9">
        <v>40</v>
      </c>
      <c r="J101" s="10">
        <f t="shared" si="29"/>
        <v>23</v>
      </c>
      <c r="K101" s="24"/>
      <c r="L101" t="str">
        <f t="shared" si="21"/>
        <v/>
      </c>
      <c r="M101" t="s">
        <v>49</v>
      </c>
      <c r="N101" s="16">
        <v>34</v>
      </c>
      <c r="O101" s="16">
        <v>17</v>
      </c>
      <c r="P101" s="16">
        <v>7</v>
      </c>
      <c r="Q101" s="16">
        <f t="shared" si="30"/>
        <v>10</v>
      </c>
      <c r="R101" s="16">
        <f t="shared" si="27"/>
        <v>58</v>
      </c>
      <c r="S101" s="16">
        <v>64</v>
      </c>
      <c r="T101" s="16">
        <v>46</v>
      </c>
      <c r="U101" s="16">
        <f t="shared" si="31"/>
        <v>18</v>
      </c>
    </row>
    <row r="102" spans="1:21" x14ac:dyDescent="0.3">
      <c r="B102" s="9" t="s">
        <v>7</v>
      </c>
      <c r="C102" s="10">
        <v>34</v>
      </c>
      <c r="D102" s="9">
        <v>18</v>
      </c>
      <c r="E102" s="9">
        <v>4</v>
      </c>
      <c r="F102" s="9">
        <v>12</v>
      </c>
      <c r="G102" s="10">
        <f t="shared" si="28"/>
        <v>58</v>
      </c>
      <c r="H102" s="9">
        <v>61</v>
      </c>
      <c r="I102" s="9">
        <v>41</v>
      </c>
      <c r="J102" s="10">
        <f t="shared" si="29"/>
        <v>20</v>
      </c>
      <c r="K102" s="24"/>
      <c r="L102" t="str">
        <f t="shared" si="21"/>
        <v/>
      </c>
      <c r="M102" s="2" t="s">
        <v>71</v>
      </c>
      <c r="N102" s="15">
        <v>34</v>
      </c>
      <c r="O102" s="15">
        <v>15</v>
      </c>
      <c r="P102" s="15">
        <v>12</v>
      </c>
      <c r="Q102" s="15">
        <f t="shared" si="30"/>
        <v>7</v>
      </c>
      <c r="R102" s="15">
        <f t="shared" si="27"/>
        <v>57</v>
      </c>
      <c r="S102" s="15">
        <v>75</v>
      </c>
      <c r="T102" s="15">
        <v>57</v>
      </c>
      <c r="U102" s="15">
        <f t="shared" si="31"/>
        <v>18</v>
      </c>
    </row>
    <row r="103" spans="1:21" x14ac:dyDescent="0.3">
      <c r="B103" t="s">
        <v>55</v>
      </c>
      <c r="C103" s="11">
        <v>34</v>
      </c>
      <c r="D103">
        <v>16</v>
      </c>
      <c r="E103">
        <v>7</v>
      </c>
      <c r="F103">
        <v>11</v>
      </c>
      <c r="G103" s="11">
        <f t="shared" si="28"/>
        <v>55</v>
      </c>
      <c r="H103">
        <v>53</v>
      </c>
      <c r="I103">
        <v>49</v>
      </c>
      <c r="J103" s="11">
        <f t="shared" si="29"/>
        <v>4</v>
      </c>
      <c r="K103" s="24"/>
      <c r="L103" t="str">
        <f t="shared" si="21"/>
        <v/>
      </c>
      <c r="M103" t="s">
        <v>62</v>
      </c>
      <c r="N103" s="16">
        <v>34</v>
      </c>
      <c r="O103" s="16">
        <v>16</v>
      </c>
      <c r="P103" s="16">
        <v>8</v>
      </c>
      <c r="Q103" s="16">
        <f t="shared" si="30"/>
        <v>10</v>
      </c>
      <c r="R103" s="16">
        <f t="shared" si="27"/>
        <v>56</v>
      </c>
      <c r="S103" s="16">
        <v>62</v>
      </c>
      <c r="T103" s="16">
        <v>46</v>
      </c>
      <c r="U103" s="16">
        <f t="shared" si="31"/>
        <v>16</v>
      </c>
    </row>
    <row r="104" spans="1:21" x14ac:dyDescent="0.3">
      <c r="B104" t="s">
        <v>44</v>
      </c>
      <c r="C104" s="11">
        <v>34</v>
      </c>
      <c r="D104">
        <v>14</v>
      </c>
      <c r="E104">
        <v>9</v>
      </c>
      <c r="F104">
        <v>11</v>
      </c>
      <c r="G104" s="11">
        <f t="shared" si="28"/>
        <v>51</v>
      </c>
      <c r="H104">
        <v>50</v>
      </c>
      <c r="I104">
        <v>42</v>
      </c>
      <c r="J104" s="11">
        <f t="shared" si="29"/>
        <v>8</v>
      </c>
      <c r="K104" s="24"/>
      <c r="L104" t="str">
        <f t="shared" si="21"/>
        <v/>
      </c>
      <c r="M104" t="s">
        <v>73</v>
      </c>
      <c r="N104" s="16">
        <v>34</v>
      </c>
      <c r="O104" s="16">
        <v>14</v>
      </c>
      <c r="P104" s="16">
        <v>9</v>
      </c>
      <c r="Q104" s="16">
        <f t="shared" si="30"/>
        <v>11</v>
      </c>
      <c r="R104" s="16">
        <f>O104*3+P104*1</f>
        <v>51</v>
      </c>
      <c r="S104" s="16">
        <v>48</v>
      </c>
      <c r="T104" s="16">
        <v>50</v>
      </c>
      <c r="U104" s="16">
        <f t="shared" si="31"/>
        <v>-2</v>
      </c>
    </row>
    <row r="105" spans="1:21" x14ac:dyDescent="0.3">
      <c r="B105" t="s">
        <v>67</v>
      </c>
      <c r="C105" s="11">
        <v>34</v>
      </c>
      <c r="D105">
        <v>14</v>
      </c>
      <c r="E105">
        <v>9</v>
      </c>
      <c r="F105">
        <v>11</v>
      </c>
      <c r="G105" s="11">
        <f t="shared" si="28"/>
        <v>51</v>
      </c>
      <c r="H105">
        <v>53</v>
      </c>
      <c r="I105">
        <v>47</v>
      </c>
      <c r="J105" s="11">
        <f t="shared" si="29"/>
        <v>6</v>
      </c>
      <c r="K105" s="24"/>
      <c r="L105" t="str">
        <f t="shared" si="21"/>
        <v/>
      </c>
      <c r="M105" t="s">
        <v>23</v>
      </c>
      <c r="N105" s="16">
        <v>34</v>
      </c>
      <c r="O105" s="16">
        <v>13</v>
      </c>
      <c r="P105" s="16">
        <v>11</v>
      </c>
      <c r="Q105" s="16">
        <f t="shared" si="30"/>
        <v>10</v>
      </c>
      <c r="R105" s="16">
        <f t="shared" si="27"/>
        <v>50</v>
      </c>
      <c r="S105" s="16">
        <v>56</v>
      </c>
      <c r="T105" s="16">
        <v>47</v>
      </c>
      <c r="U105" s="16">
        <f t="shared" si="31"/>
        <v>9</v>
      </c>
    </row>
    <row r="106" spans="1:21" x14ac:dyDescent="0.3">
      <c r="B106" t="s">
        <v>66</v>
      </c>
      <c r="C106" s="11">
        <v>34</v>
      </c>
      <c r="D106">
        <v>13</v>
      </c>
      <c r="E106">
        <v>11</v>
      </c>
      <c r="F106">
        <v>10</v>
      </c>
      <c r="G106" s="11">
        <f t="shared" si="28"/>
        <v>50</v>
      </c>
      <c r="H106">
        <v>72</v>
      </c>
      <c r="I106">
        <v>57</v>
      </c>
      <c r="J106" s="11">
        <f t="shared" si="29"/>
        <v>15</v>
      </c>
      <c r="K106" s="24"/>
      <c r="L106" t="str">
        <f t="shared" si="21"/>
        <v/>
      </c>
      <c r="M106" t="s">
        <v>47</v>
      </c>
      <c r="N106" s="16">
        <v>34</v>
      </c>
      <c r="O106" s="16">
        <v>15</v>
      </c>
      <c r="P106" s="16">
        <v>5</v>
      </c>
      <c r="Q106" s="16">
        <f t="shared" si="30"/>
        <v>14</v>
      </c>
      <c r="R106" s="16">
        <f t="shared" si="27"/>
        <v>50</v>
      </c>
      <c r="S106" s="16">
        <v>60</v>
      </c>
      <c r="T106" s="16">
        <v>58</v>
      </c>
      <c r="U106" s="16">
        <f t="shared" si="31"/>
        <v>2</v>
      </c>
    </row>
    <row r="107" spans="1:21" x14ac:dyDescent="0.3">
      <c r="B107" t="s">
        <v>16</v>
      </c>
      <c r="C107" s="11">
        <v>34</v>
      </c>
      <c r="D107">
        <v>12</v>
      </c>
      <c r="E107">
        <v>9</v>
      </c>
      <c r="F107">
        <v>13</v>
      </c>
      <c r="G107" s="11">
        <f t="shared" si="28"/>
        <v>45</v>
      </c>
      <c r="H107">
        <v>49</v>
      </c>
      <c r="I107">
        <v>48</v>
      </c>
      <c r="J107" s="11">
        <f t="shared" si="29"/>
        <v>1</v>
      </c>
      <c r="K107" s="24"/>
      <c r="L107" t="str">
        <f t="shared" si="21"/>
        <v/>
      </c>
      <c r="M107" s="2" t="s">
        <v>27</v>
      </c>
      <c r="N107" s="15">
        <v>34</v>
      </c>
      <c r="O107" s="15">
        <v>15</v>
      </c>
      <c r="P107" s="15">
        <v>4</v>
      </c>
      <c r="Q107" s="15">
        <f t="shared" si="30"/>
        <v>15</v>
      </c>
      <c r="R107" s="15">
        <f t="shared" si="27"/>
        <v>49</v>
      </c>
      <c r="S107" s="15">
        <v>63</v>
      </c>
      <c r="T107" s="15">
        <v>52</v>
      </c>
      <c r="U107" s="15">
        <f t="shared" si="31"/>
        <v>11</v>
      </c>
    </row>
    <row r="108" spans="1:21" x14ac:dyDescent="0.3">
      <c r="B108" t="s">
        <v>78</v>
      </c>
      <c r="C108" s="11">
        <v>34</v>
      </c>
      <c r="D108">
        <v>13</v>
      </c>
      <c r="E108">
        <v>6</v>
      </c>
      <c r="F108">
        <v>15</v>
      </c>
      <c r="G108" s="11">
        <f t="shared" si="28"/>
        <v>45</v>
      </c>
      <c r="H108">
        <v>54</v>
      </c>
      <c r="I108">
        <v>56</v>
      </c>
      <c r="J108" s="11">
        <f t="shared" si="29"/>
        <v>-2</v>
      </c>
      <c r="K108" s="24"/>
      <c r="L108" t="str">
        <f t="shared" si="21"/>
        <v/>
      </c>
      <c r="M108" t="s">
        <v>74</v>
      </c>
      <c r="N108" s="16">
        <v>34</v>
      </c>
      <c r="O108" s="16">
        <v>14</v>
      </c>
      <c r="P108" s="16">
        <v>5</v>
      </c>
      <c r="Q108" s="16">
        <f t="shared" si="30"/>
        <v>15</v>
      </c>
      <c r="R108" s="16">
        <f t="shared" si="27"/>
        <v>47</v>
      </c>
      <c r="S108" s="16">
        <v>47</v>
      </c>
      <c r="T108" s="16">
        <v>44</v>
      </c>
      <c r="U108" s="16">
        <f t="shared" si="31"/>
        <v>3</v>
      </c>
    </row>
    <row r="109" spans="1:21" x14ac:dyDescent="0.3">
      <c r="B109" t="s">
        <v>69</v>
      </c>
      <c r="C109" s="11">
        <v>34</v>
      </c>
      <c r="D109">
        <v>13</v>
      </c>
      <c r="E109">
        <v>5</v>
      </c>
      <c r="F109">
        <v>16</v>
      </c>
      <c r="G109" s="11">
        <f t="shared" si="28"/>
        <v>44</v>
      </c>
      <c r="H109">
        <v>49</v>
      </c>
      <c r="I109">
        <v>67</v>
      </c>
      <c r="J109" s="11">
        <f t="shared" si="29"/>
        <v>-18</v>
      </c>
      <c r="K109" s="24"/>
      <c r="L109" t="str">
        <f t="shared" si="21"/>
        <v/>
      </c>
      <c r="M109" t="s">
        <v>63</v>
      </c>
      <c r="N109" s="16">
        <v>34</v>
      </c>
      <c r="O109" s="16">
        <v>13</v>
      </c>
      <c r="P109" s="16">
        <v>6</v>
      </c>
      <c r="Q109" s="16">
        <f t="shared" si="30"/>
        <v>15</v>
      </c>
      <c r="R109" s="16">
        <f t="shared" si="27"/>
        <v>45</v>
      </c>
      <c r="S109" s="16">
        <v>55</v>
      </c>
      <c r="T109" s="16">
        <v>56</v>
      </c>
      <c r="U109" s="16">
        <f t="shared" si="31"/>
        <v>-1</v>
      </c>
    </row>
    <row r="110" spans="1:21" x14ac:dyDescent="0.3">
      <c r="B110" t="s">
        <v>8</v>
      </c>
      <c r="C110" s="11">
        <v>34</v>
      </c>
      <c r="D110">
        <v>10</v>
      </c>
      <c r="E110">
        <v>12</v>
      </c>
      <c r="F110">
        <v>12</v>
      </c>
      <c r="G110" s="11">
        <f t="shared" si="28"/>
        <v>42</v>
      </c>
      <c r="H110">
        <v>63</v>
      </c>
      <c r="I110">
        <v>62</v>
      </c>
      <c r="J110" s="11">
        <f t="shared" si="29"/>
        <v>1</v>
      </c>
      <c r="K110" s="24"/>
      <c r="L110" t="str">
        <f t="shared" si="21"/>
        <v/>
      </c>
      <c r="M110" t="s">
        <v>72</v>
      </c>
      <c r="N110" s="16">
        <v>34</v>
      </c>
      <c r="O110" s="16">
        <v>13</v>
      </c>
      <c r="P110" s="16">
        <v>6</v>
      </c>
      <c r="Q110" s="16">
        <f t="shared" si="30"/>
        <v>15</v>
      </c>
      <c r="R110" s="16">
        <f t="shared" si="27"/>
        <v>45</v>
      </c>
      <c r="S110" s="16">
        <v>37</v>
      </c>
      <c r="T110" s="16">
        <v>50</v>
      </c>
      <c r="U110" s="16">
        <f t="shared" si="31"/>
        <v>-13</v>
      </c>
    </row>
    <row r="111" spans="1:21" x14ac:dyDescent="0.3">
      <c r="B111" t="s">
        <v>40</v>
      </c>
      <c r="C111" s="11">
        <v>34</v>
      </c>
      <c r="D111">
        <v>10</v>
      </c>
      <c r="E111">
        <v>8</v>
      </c>
      <c r="F111">
        <v>16</v>
      </c>
      <c r="G111" s="11">
        <f t="shared" si="28"/>
        <v>38</v>
      </c>
      <c r="H111">
        <v>43</v>
      </c>
      <c r="I111">
        <v>57</v>
      </c>
      <c r="J111" s="11">
        <f t="shared" si="29"/>
        <v>-14</v>
      </c>
      <c r="K111" s="24"/>
      <c r="L111" t="str">
        <f t="shared" si="21"/>
        <v/>
      </c>
      <c r="M111" t="s">
        <v>80</v>
      </c>
      <c r="N111" s="16">
        <v>34</v>
      </c>
      <c r="O111" s="16">
        <v>12</v>
      </c>
      <c r="P111" s="16">
        <v>6</v>
      </c>
      <c r="Q111" s="16">
        <f t="shared" si="30"/>
        <v>16</v>
      </c>
      <c r="R111" s="16">
        <f t="shared" si="27"/>
        <v>42</v>
      </c>
      <c r="S111" s="16">
        <v>41</v>
      </c>
      <c r="T111" s="16">
        <v>59</v>
      </c>
      <c r="U111" s="16">
        <f t="shared" si="31"/>
        <v>-18</v>
      </c>
    </row>
    <row r="112" spans="1:21" x14ac:dyDescent="0.3">
      <c r="B112" t="s">
        <v>68</v>
      </c>
      <c r="C112" s="11">
        <v>34</v>
      </c>
      <c r="D112">
        <v>10</v>
      </c>
      <c r="E112">
        <v>8</v>
      </c>
      <c r="F112">
        <v>16</v>
      </c>
      <c r="G112" s="11">
        <f t="shared" si="28"/>
        <v>38</v>
      </c>
      <c r="H112">
        <v>50</v>
      </c>
      <c r="I112">
        <v>66</v>
      </c>
      <c r="J112" s="11">
        <f t="shared" si="29"/>
        <v>-16</v>
      </c>
      <c r="K112" s="24"/>
      <c r="L112" t="str">
        <f t="shared" si="21"/>
        <v/>
      </c>
      <c r="M112" t="s">
        <v>82</v>
      </c>
      <c r="N112" s="16">
        <v>34</v>
      </c>
      <c r="O112" s="16">
        <v>12</v>
      </c>
      <c r="P112" s="16">
        <v>6</v>
      </c>
      <c r="Q112" s="16">
        <f t="shared" si="30"/>
        <v>16</v>
      </c>
      <c r="R112" s="16">
        <f>O112*3+P112*1</f>
        <v>42</v>
      </c>
      <c r="S112" s="16">
        <v>59</v>
      </c>
      <c r="T112" s="16">
        <v>69</v>
      </c>
      <c r="U112" s="16">
        <f t="shared" si="31"/>
        <v>-10</v>
      </c>
    </row>
    <row r="113" spans="1:21" x14ac:dyDescent="0.3">
      <c r="B113" s="3" t="s">
        <v>15</v>
      </c>
      <c r="C113" s="12">
        <v>34</v>
      </c>
      <c r="D113" s="3">
        <v>9</v>
      </c>
      <c r="E113" s="3">
        <v>10</v>
      </c>
      <c r="F113" s="3">
        <v>15</v>
      </c>
      <c r="G113" s="12">
        <f t="shared" si="28"/>
        <v>37</v>
      </c>
      <c r="H113" s="3">
        <v>52</v>
      </c>
      <c r="I113" s="3">
        <v>68</v>
      </c>
      <c r="J113" s="12">
        <f t="shared" si="29"/>
        <v>-16</v>
      </c>
      <c r="K113" s="24"/>
      <c r="L113" t="str">
        <f t="shared" si="21"/>
        <v/>
      </c>
      <c r="M113" s="3" t="s">
        <v>76</v>
      </c>
      <c r="N113" s="17">
        <v>34</v>
      </c>
      <c r="O113" s="17">
        <v>11</v>
      </c>
      <c r="P113" s="17">
        <v>6</v>
      </c>
      <c r="Q113" s="17">
        <f t="shared" si="30"/>
        <v>17</v>
      </c>
      <c r="R113" s="17">
        <f t="shared" si="27"/>
        <v>39</v>
      </c>
      <c r="S113" s="17">
        <v>42</v>
      </c>
      <c r="T113" s="17">
        <v>64</v>
      </c>
      <c r="U113" s="17">
        <f t="shared" si="31"/>
        <v>-22</v>
      </c>
    </row>
    <row r="114" spans="1:21" x14ac:dyDescent="0.3">
      <c r="B114" s="3" t="s">
        <v>10</v>
      </c>
      <c r="C114" s="12">
        <v>34</v>
      </c>
      <c r="D114" s="3">
        <v>10</v>
      </c>
      <c r="E114" s="3">
        <v>7</v>
      </c>
      <c r="F114" s="3">
        <v>17</v>
      </c>
      <c r="G114" s="12">
        <f t="shared" si="28"/>
        <v>37</v>
      </c>
      <c r="H114" s="3">
        <v>61</v>
      </c>
      <c r="I114" s="3">
        <v>82</v>
      </c>
      <c r="J114" s="12">
        <f t="shared" si="29"/>
        <v>-21</v>
      </c>
      <c r="K114" s="24"/>
      <c r="L114" t="str">
        <f t="shared" si="21"/>
        <v/>
      </c>
      <c r="M114" s="3" t="s">
        <v>28</v>
      </c>
      <c r="N114" s="17">
        <v>34</v>
      </c>
      <c r="O114" s="17">
        <v>9</v>
      </c>
      <c r="P114" s="17">
        <v>10</v>
      </c>
      <c r="Q114" s="17">
        <f t="shared" si="30"/>
        <v>15</v>
      </c>
      <c r="R114" s="17">
        <f t="shared" si="27"/>
        <v>37</v>
      </c>
      <c r="S114" s="17">
        <v>36</v>
      </c>
      <c r="T114" s="17">
        <v>59</v>
      </c>
      <c r="U114" s="17">
        <f t="shared" si="31"/>
        <v>-23</v>
      </c>
    </row>
    <row r="115" spans="1:21" x14ac:dyDescent="0.3">
      <c r="B115" s="4" t="s">
        <v>56</v>
      </c>
      <c r="C115" s="13">
        <v>34</v>
      </c>
      <c r="D115" s="4">
        <v>10</v>
      </c>
      <c r="E115" s="4">
        <v>6</v>
      </c>
      <c r="F115" s="4">
        <v>18</v>
      </c>
      <c r="G115" s="13">
        <f t="shared" si="28"/>
        <v>36</v>
      </c>
      <c r="H115" s="4">
        <v>38</v>
      </c>
      <c r="I115" s="4">
        <v>54</v>
      </c>
      <c r="J115" s="13">
        <f t="shared" si="29"/>
        <v>-16</v>
      </c>
      <c r="K115" s="24"/>
      <c r="L115" t="str">
        <f t="shared" si="21"/>
        <v/>
      </c>
      <c r="M115" s="4" t="s">
        <v>81</v>
      </c>
      <c r="N115" s="18">
        <v>34</v>
      </c>
      <c r="O115" s="18">
        <v>10</v>
      </c>
      <c r="P115" s="18">
        <v>5</v>
      </c>
      <c r="Q115" s="18">
        <f t="shared" si="30"/>
        <v>19</v>
      </c>
      <c r="R115" s="18">
        <f t="shared" si="27"/>
        <v>35</v>
      </c>
      <c r="S115" s="18">
        <v>38</v>
      </c>
      <c r="T115" s="18">
        <v>55</v>
      </c>
      <c r="U115" s="18">
        <f t="shared" si="31"/>
        <v>-17</v>
      </c>
    </row>
    <row r="116" spans="1:21" x14ac:dyDescent="0.3">
      <c r="B116" s="4" t="s">
        <v>79</v>
      </c>
      <c r="C116" s="13">
        <v>34</v>
      </c>
      <c r="D116" s="4">
        <v>6</v>
      </c>
      <c r="E116" s="4">
        <v>10</v>
      </c>
      <c r="F116" s="4">
        <v>18</v>
      </c>
      <c r="G116" s="13">
        <f t="shared" si="28"/>
        <v>28</v>
      </c>
      <c r="H116" s="4">
        <v>44</v>
      </c>
      <c r="I116" s="4">
        <v>78</v>
      </c>
      <c r="J116" s="13">
        <f t="shared" si="29"/>
        <v>-34</v>
      </c>
      <c r="K116" s="24"/>
      <c r="L116" t="str">
        <f t="shared" si="21"/>
        <v/>
      </c>
      <c r="M116" s="4" t="s">
        <v>22</v>
      </c>
      <c r="N116" s="18">
        <v>34</v>
      </c>
      <c r="O116" s="18">
        <v>8</v>
      </c>
      <c r="P116" s="18">
        <v>8</v>
      </c>
      <c r="Q116" s="18">
        <f t="shared" si="30"/>
        <v>18</v>
      </c>
      <c r="R116" s="18">
        <f t="shared" si="27"/>
        <v>32</v>
      </c>
      <c r="S116" s="18">
        <v>43</v>
      </c>
      <c r="T116" s="18">
        <v>61</v>
      </c>
      <c r="U116" s="18">
        <f t="shared" si="31"/>
        <v>-18</v>
      </c>
    </row>
    <row r="117" spans="1:21" x14ac:dyDescent="0.3">
      <c r="L117" t="str">
        <f t="shared" si="21"/>
        <v/>
      </c>
    </row>
    <row r="118" spans="1:21" x14ac:dyDescent="0.3">
      <c r="A118" t="s">
        <v>146</v>
      </c>
      <c r="B118" s="1" t="s">
        <v>44</v>
      </c>
      <c r="C118" s="8">
        <v>34</v>
      </c>
      <c r="D118" s="1">
        <v>22</v>
      </c>
      <c r="E118" s="1">
        <v>9</v>
      </c>
      <c r="F118" s="1">
        <v>3</v>
      </c>
      <c r="G118" s="8">
        <f>D118*3+E118</f>
        <v>75</v>
      </c>
      <c r="H118" s="1">
        <v>71</v>
      </c>
      <c r="I118" s="1">
        <v>33</v>
      </c>
      <c r="J118" s="8">
        <f t="shared" ref="J118:J135" si="32">H118-I118</f>
        <v>38</v>
      </c>
      <c r="K118" s="24"/>
      <c r="L118" t="str">
        <f t="shared" si="21"/>
        <v>2022/23</v>
      </c>
      <c r="M118" s="1" t="s">
        <v>49</v>
      </c>
      <c r="N118" s="1">
        <v>34</v>
      </c>
      <c r="O118" s="1">
        <v>27</v>
      </c>
      <c r="P118" s="1">
        <v>3</v>
      </c>
      <c r="Q118" s="1">
        <f>N118-O118-P118</f>
        <v>4</v>
      </c>
      <c r="R118" s="1">
        <f t="shared" ref="R118:R135" si="33">O118*3+P118*1</f>
        <v>84</v>
      </c>
      <c r="S118" s="1">
        <v>85</v>
      </c>
      <c r="T118" s="1">
        <v>37</v>
      </c>
      <c r="U118" s="1">
        <f>S118-T118</f>
        <v>48</v>
      </c>
    </row>
    <row r="119" spans="1:21" x14ac:dyDescent="0.3">
      <c r="B119" s="2" t="s">
        <v>84</v>
      </c>
      <c r="C119" s="22">
        <v>34</v>
      </c>
      <c r="D119" s="2">
        <v>21</v>
      </c>
      <c r="E119" s="2">
        <v>6</v>
      </c>
      <c r="F119" s="2">
        <v>7</v>
      </c>
      <c r="G119" s="22">
        <f>D119*3+E119</f>
        <v>69</v>
      </c>
      <c r="H119" s="2">
        <v>77</v>
      </c>
      <c r="I119" s="2">
        <v>40</v>
      </c>
      <c r="J119" s="22">
        <f t="shared" si="32"/>
        <v>37</v>
      </c>
      <c r="K119" s="24"/>
      <c r="L119" t="str">
        <f t="shared" si="21"/>
        <v/>
      </c>
      <c r="M119" s="2" t="s">
        <v>68</v>
      </c>
      <c r="N119" s="2">
        <v>34</v>
      </c>
      <c r="O119" s="2">
        <v>22</v>
      </c>
      <c r="P119" s="2">
        <v>5</v>
      </c>
      <c r="Q119" s="2">
        <f t="shared" ref="Q119:Q135" si="34">N119-O119-P119</f>
        <v>7</v>
      </c>
      <c r="R119" s="2">
        <f t="shared" si="33"/>
        <v>71</v>
      </c>
      <c r="S119" s="2">
        <v>87</v>
      </c>
      <c r="T119" s="2">
        <v>52</v>
      </c>
      <c r="U119" s="2">
        <f t="shared" ref="U119:U135" si="35">S119-T119</f>
        <v>35</v>
      </c>
    </row>
    <row r="120" spans="1:21" x14ac:dyDescent="0.3">
      <c r="B120" s="2" t="s">
        <v>16</v>
      </c>
      <c r="C120" s="22">
        <v>34</v>
      </c>
      <c r="D120" s="2">
        <v>18</v>
      </c>
      <c r="E120" s="2">
        <v>4</v>
      </c>
      <c r="F120" s="2">
        <v>12</v>
      </c>
      <c r="G120" s="22">
        <f>D120*3+E120</f>
        <v>58</v>
      </c>
      <c r="H120" s="2">
        <v>59</v>
      </c>
      <c r="I120" s="2">
        <v>42</v>
      </c>
      <c r="J120" s="22">
        <f t="shared" si="32"/>
        <v>17</v>
      </c>
      <c r="K120" s="24"/>
      <c r="L120" t="str">
        <f t="shared" si="21"/>
        <v/>
      </c>
      <c r="M120" s="2" t="s">
        <v>24</v>
      </c>
      <c r="N120" s="2">
        <v>34</v>
      </c>
      <c r="O120" s="2">
        <v>18</v>
      </c>
      <c r="P120" s="2">
        <v>9</v>
      </c>
      <c r="Q120" s="2">
        <f t="shared" si="34"/>
        <v>7</v>
      </c>
      <c r="R120" s="2">
        <f t="shared" si="33"/>
        <v>63</v>
      </c>
      <c r="S120" s="2">
        <v>64</v>
      </c>
      <c r="T120" s="2">
        <v>33</v>
      </c>
      <c r="U120" s="2">
        <f t="shared" si="35"/>
        <v>31</v>
      </c>
    </row>
    <row r="121" spans="1:21" x14ac:dyDescent="0.3">
      <c r="B121" t="s">
        <v>85</v>
      </c>
      <c r="C121" s="11">
        <v>34</v>
      </c>
      <c r="D121">
        <v>17</v>
      </c>
      <c r="E121">
        <v>5</v>
      </c>
      <c r="F121">
        <v>12</v>
      </c>
      <c r="G121" s="11">
        <f>D121*3+E121</f>
        <v>56</v>
      </c>
      <c r="H121">
        <v>64</v>
      </c>
      <c r="I121">
        <v>55</v>
      </c>
      <c r="J121" s="11">
        <f t="shared" si="32"/>
        <v>9</v>
      </c>
      <c r="K121" s="24"/>
      <c r="L121" t="str">
        <f t="shared" si="21"/>
        <v/>
      </c>
      <c r="M121" t="s">
        <v>63</v>
      </c>
      <c r="N121">
        <v>34</v>
      </c>
      <c r="O121">
        <v>15</v>
      </c>
      <c r="P121">
        <v>10</v>
      </c>
      <c r="Q121">
        <f t="shared" si="34"/>
        <v>9</v>
      </c>
      <c r="R121">
        <f t="shared" si="33"/>
        <v>55</v>
      </c>
      <c r="S121">
        <v>53</v>
      </c>
      <c r="T121">
        <v>45</v>
      </c>
      <c r="U121">
        <f t="shared" si="35"/>
        <v>8</v>
      </c>
    </row>
    <row r="122" spans="1:21" x14ac:dyDescent="0.3">
      <c r="B122" s="23" t="s">
        <v>66</v>
      </c>
      <c r="C122" s="24">
        <v>34</v>
      </c>
      <c r="D122" s="23">
        <v>18</v>
      </c>
      <c r="E122" s="23">
        <v>5</v>
      </c>
      <c r="F122" s="23">
        <v>11</v>
      </c>
      <c r="G122" s="24">
        <f>D122*3+E122-4</f>
        <v>55</v>
      </c>
      <c r="H122" s="23">
        <v>71</v>
      </c>
      <c r="I122" s="23">
        <v>54</v>
      </c>
      <c r="J122" s="24">
        <f t="shared" si="32"/>
        <v>17</v>
      </c>
      <c r="K122" s="24"/>
      <c r="L122" t="str">
        <f t="shared" si="21"/>
        <v/>
      </c>
      <c r="M122" t="s">
        <v>32</v>
      </c>
      <c r="N122">
        <v>34</v>
      </c>
      <c r="O122">
        <v>16</v>
      </c>
      <c r="P122">
        <v>6</v>
      </c>
      <c r="Q122">
        <f t="shared" si="34"/>
        <v>12</v>
      </c>
      <c r="R122">
        <f t="shared" si="33"/>
        <v>54</v>
      </c>
      <c r="S122">
        <v>58</v>
      </c>
      <c r="T122">
        <v>56</v>
      </c>
      <c r="U122">
        <f t="shared" si="35"/>
        <v>2</v>
      </c>
    </row>
    <row r="123" spans="1:21" x14ac:dyDescent="0.3">
      <c r="B123" t="s">
        <v>86</v>
      </c>
      <c r="C123" s="11">
        <v>34</v>
      </c>
      <c r="D123">
        <v>15</v>
      </c>
      <c r="E123">
        <v>8</v>
      </c>
      <c r="F123">
        <v>11</v>
      </c>
      <c r="G123" s="11">
        <f t="shared" ref="G123:G135" si="36">D123*3+E123</f>
        <v>53</v>
      </c>
      <c r="H123">
        <v>52</v>
      </c>
      <c r="I123">
        <v>50</v>
      </c>
      <c r="J123" s="11">
        <f t="shared" si="32"/>
        <v>2</v>
      </c>
      <c r="K123" s="24"/>
      <c r="L123" t="str">
        <f t="shared" si="21"/>
        <v/>
      </c>
      <c r="M123" t="s">
        <v>27</v>
      </c>
      <c r="N123">
        <v>34</v>
      </c>
      <c r="O123">
        <v>14</v>
      </c>
      <c r="P123">
        <v>9</v>
      </c>
      <c r="Q123">
        <f t="shared" si="34"/>
        <v>11</v>
      </c>
      <c r="R123">
        <f>O123*3+P123*1</f>
        <v>51</v>
      </c>
      <c r="S123">
        <v>64</v>
      </c>
      <c r="T123">
        <v>42</v>
      </c>
      <c r="U123">
        <f t="shared" si="35"/>
        <v>22</v>
      </c>
    </row>
    <row r="124" spans="1:21" x14ac:dyDescent="0.3">
      <c r="B124" t="s">
        <v>87</v>
      </c>
      <c r="C124" s="11">
        <v>34</v>
      </c>
      <c r="D124">
        <v>15</v>
      </c>
      <c r="E124">
        <v>7</v>
      </c>
      <c r="F124">
        <v>12</v>
      </c>
      <c r="G124" s="11">
        <f t="shared" si="36"/>
        <v>52</v>
      </c>
      <c r="H124">
        <v>54</v>
      </c>
      <c r="I124">
        <v>43</v>
      </c>
      <c r="J124" s="11">
        <f t="shared" si="32"/>
        <v>11</v>
      </c>
      <c r="K124" s="24"/>
      <c r="L124" t="str">
        <f t="shared" si="21"/>
        <v/>
      </c>
      <c r="M124" t="s">
        <v>47</v>
      </c>
      <c r="N124">
        <v>34</v>
      </c>
      <c r="O124">
        <v>12</v>
      </c>
      <c r="P124">
        <v>13</v>
      </c>
      <c r="Q124">
        <f t="shared" si="34"/>
        <v>9</v>
      </c>
      <c r="R124">
        <f t="shared" si="33"/>
        <v>49</v>
      </c>
      <c r="S124">
        <v>55</v>
      </c>
      <c r="T124">
        <v>41</v>
      </c>
      <c r="U124">
        <f t="shared" si="35"/>
        <v>14</v>
      </c>
    </row>
    <row r="125" spans="1:21" x14ac:dyDescent="0.3">
      <c r="B125" t="s">
        <v>88</v>
      </c>
      <c r="C125" s="11">
        <v>34</v>
      </c>
      <c r="D125">
        <v>13</v>
      </c>
      <c r="E125">
        <v>11</v>
      </c>
      <c r="F125">
        <v>10</v>
      </c>
      <c r="G125" s="11">
        <f t="shared" si="36"/>
        <v>50</v>
      </c>
      <c r="H125">
        <v>45</v>
      </c>
      <c r="I125">
        <v>45</v>
      </c>
      <c r="J125" s="11">
        <f t="shared" si="32"/>
        <v>0</v>
      </c>
      <c r="K125" s="24"/>
      <c r="L125" t="str">
        <f t="shared" si="21"/>
        <v/>
      </c>
      <c r="M125" t="s">
        <v>95</v>
      </c>
      <c r="N125">
        <v>34</v>
      </c>
      <c r="O125">
        <v>13</v>
      </c>
      <c r="P125">
        <v>10</v>
      </c>
      <c r="Q125">
        <f t="shared" si="34"/>
        <v>11</v>
      </c>
      <c r="R125">
        <f t="shared" si="33"/>
        <v>49</v>
      </c>
      <c r="S125">
        <v>68</v>
      </c>
      <c r="T125">
        <v>56</v>
      </c>
      <c r="U125">
        <f t="shared" si="35"/>
        <v>12</v>
      </c>
    </row>
    <row r="126" spans="1:21" x14ac:dyDescent="0.3">
      <c r="B126" t="s">
        <v>55</v>
      </c>
      <c r="C126" s="11">
        <v>34</v>
      </c>
      <c r="D126">
        <v>16</v>
      </c>
      <c r="E126">
        <v>2</v>
      </c>
      <c r="F126">
        <v>16</v>
      </c>
      <c r="G126" s="11">
        <f t="shared" si="36"/>
        <v>50</v>
      </c>
      <c r="H126">
        <v>71</v>
      </c>
      <c r="I126">
        <v>72</v>
      </c>
      <c r="J126" s="11">
        <f t="shared" si="32"/>
        <v>-1</v>
      </c>
      <c r="K126" s="24"/>
      <c r="L126" t="str">
        <f t="shared" si="21"/>
        <v/>
      </c>
      <c r="M126" t="s">
        <v>74</v>
      </c>
      <c r="N126">
        <v>34</v>
      </c>
      <c r="O126">
        <v>13</v>
      </c>
      <c r="P126">
        <v>10</v>
      </c>
      <c r="Q126">
        <f t="shared" si="34"/>
        <v>11</v>
      </c>
      <c r="R126">
        <f t="shared" si="33"/>
        <v>49</v>
      </c>
      <c r="S126">
        <v>59</v>
      </c>
      <c r="T126">
        <v>47</v>
      </c>
      <c r="U126">
        <f t="shared" si="35"/>
        <v>12</v>
      </c>
    </row>
    <row r="127" spans="1:21" x14ac:dyDescent="0.3">
      <c r="B127" s="2" t="s">
        <v>89</v>
      </c>
      <c r="C127" s="22">
        <v>34</v>
      </c>
      <c r="D127" s="2">
        <v>15</v>
      </c>
      <c r="E127" s="2">
        <v>3</v>
      </c>
      <c r="F127" s="2">
        <v>16</v>
      </c>
      <c r="G127" s="22">
        <f t="shared" si="36"/>
        <v>48</v>
      </c>
      <c r="H127" s="2">
        <v>51</v>
      </c>
      <c r="I127" s="2">
        <v>56</v>
      </c>
      <c r="J127" s="22">
        <f t="shared" si="32"/>
        <v>-5</v>
      </c>
      <c r="K127" s="24"/>
      <c r="L127" t="str">
        <f t="shared" si="21"/>
        <v/>
      </c>
      <c r="M127" t="s">
        <v>72</v>
      </c>
      <c r="N127">
        <v>34</v>
      </c>
      <c r="O127">
        <v>13</v>
      </c>
      <c r="P127">
        <v>9</v>
      </c>
      <c r="Q127">
        <f t="shared" si="34"/>
        <v>12</v>
      </c>
      <c r="R127">
        <f t="shared" si="33"/>
        <v>48</v>
      </c>
      <c r="S127">
        <v>58</v>
      </c>
      <c r="T127">
        <v>53</v>
      </c>
      <c r="U127">
        <f t="shared" si="35"/>
        <v>5</v>
      </c>
    </row>
    <row r="128" spans="1:21" x14ac:dyDescent="0.3">
      <c r="B128" t="s">
        <v>90</v>
      </c>
      <c r="C128" s="11">
        <v>34</v>
      </c>
      <c r="D128">
        <v>12</v>
      </c>
      <c r="E128">
        <v>9</v>
      </c>
      <c r="F128">
        <v>13</v>
      </c>
      <c r="G128" s="11">
        <f t="shared" si="36"/>
        <v>45</v>
      </c>
      <c r="H128">
        <v>38</v>
      </c>
      <c r="I128">
        <v>41</v>
      </c>
      <c r="J128" s="11">
        <f t="shared" si="32"/>
        <v>-3</v>
      </c>
      <c r="K128" s="24"/>
      <c r="L128" t="str">
        <f t="shared" si="21"/>
        <v/>
      </c>
      <c r="M128" t="s">
        <v>71</v>
      </c>
      <c r="N128">
        <v>34</v>
      </c>
      <c r="O128">
        <v>14</v>
      </c>
      <c r="P128">
        <v>5</v>
      </c>
      <c r="Q128">
        <f t="shared" si="34"/>
        <v>15</v>
      </c>
      <c r="R128">
        <f t="shared" si="33"/>
        <v>47</v>
      </c>
      <c r="S128">
        <v>52</v>
      </c>
      <c r="T128">
        <v>59</v>
      </c>
      <c r="U128">
        <f t="shared" si="35"/>
        <v>-7</v>
      </c>
    </row>
    <row r="129" spans="1:21" x14ac:dyDescent="0.3">
      <c r="B129" t="s">
        <v>91</v>
      </c>
      <c r="C129" s="11">
        <v>34</v>
      </c>
      <c r="D129">
        <v>13</v>
      </c>
      <c r="E129">
        <v>3</v>
      </c>
      <c r="F129">
        <v>18</v>
      </c>
      <c r="G129" s="11">
        <f t="shared" si="36"/>
        <v>42</v>
      </c>
      <c r="H129">
        <v>62</v>
      </c>
      <c r="I129">
        <v>76</v>
      </c>
      <c r="J129" s="11">
        <f t="shared" si="32"/>
        <v>-14</v>
      </c>
      <c r="K129" s="24"/>
      <c r="L129" t="str">
        <f t="shared" si="21"/>
        <v/>
      </c>
      <c r="M129" t="s">
        <v>96</v>
      </c>
      <c r="N129">
        <v>34</v>
      </c>
      <c r="O129">
        <v>13</v>
      </c>
      <c r="P129">
        <v>6</v>
      </c>
      <c r="Q129">
        <f t="shared" si="34"/>
        <v>15</v>
      </c>
      <c r="R129">
        <f t="shared" si="33"/>
        <v>45</v>
      </c>
      <c r="S129">
        <v>43</v>
      </c>
      <c r="T129">
        <v>59</v>
      </c>
      <c r="U129">
        <f t="shared" si="35"/>
        <v>-16</v>
      </c>
    </row>
    <row r="130" spans="1:21" x14ac:dyDescent="0.3">
      <c r="B130" t="s">
        <v>8</v>
      </c>
      <c r="C130" s="11">
        <v>34</v>
      </c>
      <c r="D130">
        <v>10</v>
      </c>
      <c r="E130">
        <v>8</v>
      </c>
      <c r="F130">
        <v>16</v>
      </c>
      <c r="G130" s="11">
        <f t="shared" si="36"/>
        <v>38</v>
      </c>
      <c r="H130">
        <v>52</v>
      </c>
      <c r="I130">
        <v>56</v>
      </c>
      <c r="J130" s="11">
        <f t="shared" si="32"/>
        <v>-4</v>
      </c>
      <c r="K130" s="24"/>
      <c r="L130" t="str">
        <f t="shared" si="21"/>
        <v/>
      </c>
      <c r="M130" s="2" t="s">
        <v>73</v>
      </c>
      <c r="N130" s="2">
        <v>34</v>
      </c>
      <c r="O130" s="2">
        <v>10</v>
      </c>
      <c r="P130" s="2">
        <v>13</v>
      </c>
      <c r="Q130" s="2">
        <f t="shared" si="34"/>
        <v>11</v>
      </c>
      <c r="R130" s="2">
        <f t="shared" si="33"/>
        <v>43</v>
      </c>
      <c r="S130" s="2">
        <v>42</v>
      </c>
      <c r="T130" s="2">
        <v>44</v>
      </c>
      <c r="U130" s="2">
        <f t="shared" si="35"/>
        <v>-2</v>
      </c>
    </row>
    <row r="131" spans="1:21" x14ac:dyDescent="0.3">
      <c r="B131" t="s">
        <v>92</v>
      </c>
      <c r="C131" s="11">
        <v>34</v>
      </c>
      <c r="D131">
        <v>9</v>
      </c>
      <c r="E131">
        <v>9</v>
      </c>
      <c r="F131">
        <v>16</v>
      </c>
      <c r="G131" s="11">
        <f t="shared" si="36"/>
        <v>36</v>
      </c>
      <c r="H131">
        <v>52</v>
      </c>
      <c r="I131">
        <v>72</v>
      </c>
      <c r="J131" s="11">
        <f t="shared" si="32"/>
        <v>-20</v>
      </c>
      <c r="K131" s="24"/>
      <c r="L131" t="str">
        <f t="shared" si="21"/>
        <v/>
      </c>
      <c r="M131" t="s">
        <v>62</v>
      </c>
      <c r="N131">
        <v>34</v>
      </c>
      <c r="O131">
        <v>8</v>
      </c>
      <c r="P131">
        <v>12</v>
      </c>
      <c r="Q131">
        <f t="shared" si="34"/>
        <v>14</v>
      </c>
      <c r="R131">
        <f>O131*3+P131*1</f>
        <v>36</v>
      </c>
      <c r="S131">
        <v>39</v>
      </c>
      <c r="T131">
        <v>59</v>
      </c>
      <c r="U131">
        <f t="shared" si="35"/>
        <v>-20</v>
      </c>
    </row>
    <row r="132" spans="1:21" x14ac:dyDescent="0.3">
      <c r="B132" s="3" t="s">
        <v>93</v>
      </c>
      <c r="C132" s="12">
        <v>34</v>
      </c>
      <c r="D132" s="3">
        <v>10</v>
      </c>
      <c r="E132" s="3">
        <v>5</v>
      </c>
      <c r="F132" s="3">
        <v>19</v>
      </c>
      <c r="G132" s="12">
        <f t="shared" si="36"/>
        <v>35</v>
      </c>
      <c r="H132" s="3">
        <v>49</v>
      </c>
      <c r="I132" s="3">
        <v>71</v>
      </c>
      <c r="J132" s="12">
        <f t="shared" si="32"/>
        <v>-22</v>
      </c>
      <c r="K132" s="24"/>
      <c r="L132" t="str">
        <f t="shared" si="21"/>
        <v/>
      </c>
      <c r="M132" s="3" t="s">
        <v>82</v>
      </c>
      <c r="N132" s="3">
        <v>34</v>
      </c>
      <c r="O132" s="3">
        <v>8</v>
      </c>
      <c r="P132" s="3">
        <v>8</v>
      </c>
      <c r="Q132" s="3">
        <f t="shared" si="34"/>
        <v>18</v>
      </c>
      <c r="R132" s="3">
        <f t="shared" si="33"/>
        <v>32</v>
      </c>
      <c r="S132" s="3">
        <v>35</v>
      </c>
      <c r="T132" s="3">
        <v>80</v>
      </c>
      <c r="U132" s="3">
        <f t="shared" si="35"/>
        <v>-45</v>
      </c>
    </row>
    <row r="133" spans="1:21" x14ac:dyDescent="0.3">
      <c r="B133" s="3" t="s">
        <v>94</v>
      </c>
      <c r="C133" s="12">
        <v>34</v>
      </c>
      <c r="D133" s="3">
        <v>8</v>
      </c>
      <c r="E133" s="3">
        <v>9</v>
      </c>
      <c r="F133" s="3">
        <v>17</v>
      </c>
      <c r="G133" s="12">
        <f t="shared" si="36"/>
        <v>33</v>
      </c>
      <c r="H133" s="3">
        <v>47</v>
      </c>
      <c r="I133" s="3">
        <v>58</v>
      </c>
      <c r="J133" s="12">
        <f t="shared" si="32"/>
        <v>-11</v>
      </c>
      <c r="K133" s="24"/>
      <c r="L133" t="str">
        <f t="shared" ref="L133:L196" si="37">IF(A133="","",A133)</f>
        <v/>
      </c>
      <c r="M133" s="3" t="s">
        <v>97</v>
      </c>
      <c r="N133" s="3">
        <v>34</v>
      </c>
      <c r="O133" s="3">
        <v>8</v>
      </c>
      <c r="P133" s="3">
        <v>4</v>
      </c>
      <c r="Q133" s="3">
        <f t="shared" si="34"/>
        <v>22</v>
      </c>
      <c r="R133" s="3">
        <f t="shared" si="33"/>
        <v>28</v>
      </c>
      <c r="S133" s="3">
        <v>44</v>
      </c>
      <c r="T133" s="3">
        <v>70</v>
      </c>
      <c r="U133" s="3">
        <f t="shared" si="35"/>
        <v>-26</v>
      </c>
    </row>
    <row r="134" spans="1:21" x14ac:dyDescent="0.3">
      <c r="B134" s="4" t="s">
        <v>69</v>
      </c>
      <c r="C134" s="13">
        <v>34</v>
      </c>
      <c r="D134" s="4">
        <v>8</v>
      </c>
      <c r="E134" s="4">
        <v>9</v>
      </c>
      <c r="F134" s="4">
        <v>17</v>
      </c>
      <c r="G134" s="13">
        <f t="shared" si="36"/>
        <v>33</v>
      </c>
      <c r="H134" s="4">
        <v>50</v>
      </c>
      <c r="I134" s="4">
        <v>65</v>
      </c>
      <c r="J134" s="13">
        <f t="shared" si="32"/>
        <v>-15</v>
      </c>
      <c r="K134" s="24"/>
      <c r="L134" t="str">
        <f t="shared" si="37"/>
        <v/>
      </c>
      <c r="M134" s="4" t="s">
        <v>23</v>
      </c>
      <c r="N134" s="4">
        <v>34</v>
      </c>
      <c r="O134" s="4">
        <v>6</v>
      </c>
      <c r="P134" s="4">
        <v>7</v>
      </c>
      <c r="Q134" s="4">
        <f t="shared" si="34"/>
        <v>21</v>
      </c>
      <c r="R134" s="4">
        <f t="shared" si="33"/>
        <v>25</v>
      </c>
      <c r="S134" s="4">
        <v>45</v>
      </c>
      <c r="T134" s="4">
        <v>77</v>
      </c>
      <c r="U134" s="4">
        <f t="shared" si="35"/>
        <v>-32</v>
      </c>
    </row>
    <row r="135" spans="1:21" x14ac:dyDescent="0.3">
      <c r="B135" s="4" t="s">
        <v>4</v>
      </c>
      <c r="C135" s="13">
        <v>34</v>
      </c>
      <c r="D135" s="4">
        <v>7</v>
      </c>
      <c r="E135" s="4">
        <v>6</v>
      </c>
      <c r="F135" s="4">
        <v>21</v>
      </c>
      <c r="G135" s="13">
        <f t="shared" si="36"/>
        <v>27</v>
      </c>
      <c r="H135" s="4">
        <v>25</v>
      </c>
      <c r="I135" s="4">
        <v>61</v>
      </c>
      <c r="J135" s="13">
        <f t="shared" si="32"/>
        <v>-36</v>
      </c>
      <c r="K135" s="24"/>
      <c r="L135" t="str">
        <f t="shared" si="37"/>
        <v/>
      </c>
      <c r="M135" s="4" t="s">
        <v>37</v>
      </c>
      <c r="N135" s="4">
        <v>34</v>
      </c>
      <c r="O135" s="4">
        <v>4</v>
      </c>
      <c r="P135" s="4">
        <v>5</v>
      </c>
      <c r="Q135" s="4">
        <f t="shared" si="34"/>
        <v>25</v>
      </c>
      <c r="R135" s="4">
        <f t="shared" si="33"/>
        <v>17</v>
      </c>
      <c r="S135" s="4">
        <v>26</v>
      </c>
      <c r="T135" s="4">
        <v>67</v>
      </c>
      <c r="U135" s="4">
        <f t="shared" si="35"/>
        <v>-41</v>
      </c>
    </row>
    <row r="136" spans="1:21" x14ac:dyDescent="0.3">
      <c r="L136" t="str">
        <f t="shared" si="37"/>
        <v/>
      </c>
    </row>
    <row r="137" spans="1:21" x14ac:dyDescent="0.3">
      <c r="A137" t="s">
        <v>147</v>
      </c>
      <c r="B137" s="1" t="s">
        <v>92</v>
      </c>
      <c r="C137" s="8">
        <v>34</v>
      </c>
      <c r="D137" s="1">
        <v>21</v>
      </c>
      <c r="E137" s="1">
        <v>3</v>
      </c>
      <c r="F137" s="1">
        <f>C137-D137-E137</f>
        <v>10</v>
      </c>
      <c r="G137" s="8">
        <f>D137*3+E137</f>
        <v>66</v>
      </c>
      <c r="H137" s="1">
        <v>92</v>
      </c>
      <c r="I137" s="1">
        <v>53</v>
      </c>
      <c r="J137" s="8">
        <f>H137-I137</f>
        <v>39</v>
      </c>
      <c r="K137" s="24"/>
      <c r="L137" t="str">
        <f t="shared" si="37"/>
        <v>2023/24</v>
      </c>
      <c r="M137" s="1" t="s">
        <v>66</v>
      </c>
      <c r="N137" s="1">
        <v>34</v>
      </c>
      <c r="O137" s="1">
        <v>22</v>
      </c>
      <c r="P137" s="1">
        <v>5</v>
      </c>
      <c r="Q137" s="1">
        <f>N137-O137-P137</f>
        <v>7</v>
      </c>
      <c r="R137" s="8">
        <f t="shared" ref="R137:R154" si="38">O137*3+P137*1</f>
        <v>71</v>
      </c>
      <c r="S137" s="1">
        <v>76</v>
      </c>
      <c r="T137" s="1">
        <v>37</v>
      </c>
      <c r="U137" s="1">
        <f>S137-T137</f>
        <v>39</v>
      </c>
    </row>
    <row r="138" spans="1:21" x14ac:dyDescent="0.3">
      <c r="B138" s="7" t="s">
        <v>98</v>
      </c>
      <c r="C138" s="21">
        <v>34</v>
      </c>
      <c r="D138" s="7">
        <v>19</v>
      </c>
      <c r="E138" s="7">
        <v>6</v>
      </c>
      <c r="F138" s="7">
        <f t="shared" ref="F138:F154" si="39">C138-D138-E138</f>
        <v>9</v>
      </c>
      <c r="G138" s="21">
        <f t="shared" ref="G138:G154" si="40">D138*3+E138</f>
        <v>63</v>
      </c>
      <c r="H138" s="7">
        <v>72</v>
      </c>
      <c r="I138" s="7">
        <v>43</v>
      </c>
      <c r="J138" s="21">
        <f t="shared" ref="J138:J154" si="41">H138-I138</f>
        <v>29</v>
      </c>
      <c r="K138" s="24"/>
      <c r="L138" t="str">
        <f t="shared" si="37"/>
        <v/>
      </c>
      <c r="M138" s="2" t="s">
        <v>16</v>
      </c>
      <c r="N138" s="2">
        <v>34</v>
      </c>
      <c r="O138" s="2">
        <v>20</v>
      </c>
      <c r="P138" s="2">
        <v>9</v>
      </c>
      <c r="Q138" s="2">
        <f t="shared" ref="Q138:Q154" si="42">N138-O138-P138</f>
        <v>5</v>
      </c>
      <c r="R138" s="22">
        <f t="shared" si="38"/>
        <v>69</v>
      </c>
      <c r="S138" s="2">
        <v>70</v>
      </c>
      <c r="T138" s="2">
        <v>32</v>
      </c>
      <c r="U138" s="2">
        <f t="shared" ref="U138:U154" si="43">S138-T138</f>
        <v>38</v>
      </c>
    </row>
    <row r="139" spans="1:21" x14ac:dyDescent="0.3">
      <c r="B139" s="2" t="s">
        <v>99</v>
      </c>
      <c r="C139" s="2">
        <v>34</v>
      </c>
      <c r="D139" s="2">
        <v>16</v>
      </c>
      <c r="E139" s="2">
        <v>11</v>
      </c>
      <c r="F139" s="2">
        <f t="shared" si="39"/>
        <v>7</v>
      </c>
      <c r="G139" s="2">
        <f t="shared" si="40"/>
        <v>59</v>
      </c>
      <c r="H139" s="2">
        <v>68</v>
      </c>
      <c r="I139" s="2">
        <v>40</v>
      </c>
      <c r="J139" s="2">
        <f t="shared" si="41"/>
        <v>28</v>
      </c>
      <c r="L139" t="str">
        <f t="shared" si="37"/>
        <v/>
      </c>
      <c r="M139" s="2" t="s">
        <v>63</v>
      </c>
      <c r="N139" s="2">
        <v>34</v>
      </c>
      <c r="O139" s="2">
        <v>20</v>
      </c>
      <c r="P139" s="2">
        <v>7</v>
      </c>
      <c r="Q139" s="2">
        <f t="shared" si="42"/>
        <v>7</v>
      </c>
      <c r="R139" s="22">
        <f t="shared" si="38"/>
        <v>67</v>
      </c>
      <c r="S139" s="2">
        <v>67</v>
      </c>
      <c r="T139" s="2">
        <v>35</v>
      </c>
      <c r="U139" s="2">
        <f t="shared" si="43"/>
        <v>32</v>
      </c>
    </row>
    <row r="140" spans="1:21" x14ac:dyDescent="0.3">
      <c r="B140" s="2" t="s">
        <v>24</v>
      </c>
      <c r="C140" s="2">
        <v>34</v>
      </c>
      <c r="D140" s="2">
        <v>17</v>
      </c>
      <c r="E140" s="2">
        <v>6</v>
      </c>
      <c r="F140" s="2">
        <f t="shared" si="39"/>
        <v>11</v>
      </c>
      <c r="G140" s="2">
        <f t="shared" si="40"/>
        <v>57</v>
      </c>
      <c r="H140" s="2">
        <v>63</v>
      </c>
      <c r="I140" s="2">
        <v>43</v>
      </c>
      <c r="J140" s="2">
        <f t="shared" si="41"/>
        <v>20</v>
      </c>
      <c r="L140" t="str">
        <f t="shared" si="37"/>
        <v/>
      </c>
      <c r="M140" s="2" t="s">
        <v>106</v>
      </c>
      <c r="N140" s="2">
        <v>34</v>
      </c>
      <c r="O140" s="2">
        <v>17</v>
      </c>
      <c r="P140" s="2">
        <v>10</v>
      </c>
      <c r="Q140" s="2">
        <f t="shared" si="42"/>
        <v>7</v>
      </c>
      <c r="R140" s="2">
        <f t="shared" si="38"/>
        <v>61</v>
      </c>
      <c r="S140" s="2">
        <v>67</v>
      </c>
      <c r="T140" s="2">
        <v>33</v>
      </c>
      <c r="U140" s="2">
        <f t="shared" si="43"/>
        <v>34</v>
      </c>
    </row>
    <row r="141" spans="1:21" x14ac:dyDescent="0.3">
      <c r="B141" t="s">
        <v>88</v>
      </c>
      <c r="C141" s="11">
        <v>34</v>
      </c>
      <c r="D141">
        <v>18</v>
      </c>
      <c r="E141">
        <v>2</v>
      </c>
      <c r="F141">
        <f t="shared" si="39"/>
        <v>14</v>
      </c>
      <c r="G141" s="11">
        <f t="shared" si="40"/>
        <v>56</v>
      </c>
      <c r="H141">
        <v>81</v>
      </c>
      <c r="I141">
        <v>66</v>
      </c>
      <c r="J141" s="11">
        <f t="shared" si="41"/>
        <v>15</v>
      </c>
      <c r="K141" s="24"/>
      <c r="L141" t="str">
        <f t="shared" si="37"/>
        <v/>
      </c>
      <c r="M141" t="s">
        <v>107</v>
      </c>
      <c r="N141">
        <v>34</v>
      </c>
      <c r="O141">
        <v>18</v>
      </c>
      <c r="P141">
        <v>7</v>
      </c>
      <c r="Q141">
        <f t="shared" si="42"/>
        <v>9</v>
      </c>
      <c r="R141" s="11">
        <f t="shared" si="38"/>
        <v>61</v>
      </c>
      <c r="S141">
        <v>56</v>
      </c>
      <c r="T141">
        <v>36</v>
      </c>
      <c r="U141">
        <f t="shared" si="43"/>
        <v>20</v>
      </c>
    </row>
    <row r="142" spans="1:21" x14ac:dyDescent="0.3">
      <c r="B142" s="2" t="s">
        <v>8</v>
      </c>
      <c r="C142" s="2">
        <v>34</v>
      </c>
      <c r="D142" s="2">
        <v>14</v>
      </c>
      <c r="E142" s="2">
        <v>12</v>
      </c>
      <c r="F142" s="2">
        <f t="shared" si="39"/>
        <v>8</v>
      </c>
      <c r="G142" s="2">
        <f t="shared" si="40"/>
        <v>54</v>
      </c>
      <c r="H142" s="2">
        <v>62</v>
      </c>
      <c r="I142" s="2">
        <v>47</v>
      </c>
      <c r="J142" s="2">
        <f t="shared" si="41"/>
        <v>15</v>
      </c>
      <c r="L142" t="str">
        <f t="shared" si="37"/>
        <v/>
      </c>
      <c r="M142" t="s">
        <v>108</v>
      </c>
      <c r="N142">
        <v>34</v>
      </c>
      <c r="O142">
        <v>17</v>
      </c>
      <c r="P142">
        <v>7</v>
      </c>
      <c r="Q142">
        <f t="shared" si="42"/>
        <v>10</v>
      </c>
      <c r="R142" s="11">
        <f>O142*3+P142*1</f>
        <v>58</v>
      </c>
      <c r="S142">
        <v>64</v>
      </c>
      <c r="T142">
        <v>62</v>
      </c>
      <c r="U142">
        <f t="shared" si="43"/>
        <v>2</v>
      </c>
    </row>
    <row r="143" spans="1:21" x14ac:dyDescent="0.3">
      <c r="B143" t="s">
        <v>89</v>
      </c>
      <c r="C143" s="11">
        <v>34</v>
      </c>
      <c r="D143">
        <v>14</v>
      </c>
      <c r="E143">
        <v>10</v>
      </c>
      <c r="F143">
        <f t="shared" si="39"/>
        <v>10</v>
      </c>
      <c r="G143" s="11">
        <f t="shared" si="40"/>
        <v>52</v>
      </c>
      <c r="H143">
        <v>62</v>
      </c>
      <c r="I143">
        <v>45</v>
      </c>
      <c r="J143" s="11">
        <f t="shared" si="41"/>
        <v>17</v>
      </c>
      <c r="K143" s="24"/>
      <c r="L143" t="str">
        <f t="shared" si="37"/>
        <v/>
      </c>
      <c r="M143" t="s">
        <v>109</v>
      </c>
      <c r="N143">
        <v>34</v>
      </c>
      <c r="O143">
        <v>16</v>
      </c>
      <c r="P143">
        <v>8</v>
      </c>
      <c r="Q143">
        <f t="shared" si="42"/>
        <v>10</v>
      </c>
      <c r="R143" s="11">
        <f t="shared" si="38"/>
        <v>56</v>
      </c>
      <c r="S143">
        <v>71</v>
      </c>
      <c r="T143">
        <v>52</v>
      </c>
      <c r="U143">
        <f t="shared" si="43"/>
        <v>19</v>
      </c>
    </row>
    <row r="144" spans="1:21" x14ac:dyDescent="0.3">
      <c r="B144" t="s">
        <v>27</v>
      </c>
      <c r="C144" s="11">
        <v>34</v>
      </c>
      <c r="D144">
        <v>14</v>
      </c>
      <c r="E144">
        <v>10</v>
      </c>
      <c r="F144">
        <f t="shared" si="39"/>
        <v>10</v>
      </c>
      <c r="G144" s="11">
        <f t="shared" si="40"/>
        <v>52</v>
      </c>
      <c r="H144">
        <v>60</v>
      </c>
      <c r="I144">
        <v>53</v>
      </c>
      <c r="J144" s="11">
        <f t="shared" si="41"/>
        <v>7</v>
      </c>
      <c r="K144" s="24"/>
      <c r="L144" t="str">
        <f t="shared" si="37"/>
        <v/>
      </c>
      <c r="M144" t="s">
        <v>95</v>
      </c>
      <c r="N144">
        <v>34</v>
      </c>
      <c r="O144">
        <v>16</v>
      </c>
      <c r="P144">
        <v>2</v>
      </c>
      <c r="Q144">
        <f t="shared" si="42"/>
        <v>16</v>
      </c>
      <c r="R144" s="11">
        <f t="shared" si="38"/>
        <v>50</v>
      </c>
      <c r="S144">
        <v>47</v>
      </c>
      <c r="T144">
        <v>43</v>
      </c>
      <c r="U144">
        <f t="shared" si="43"/>
        <v>4</v>
      </c>
    </row>
    <row r="145" spans="1:21" x14ac:dyDescent="0.3">
      <c r="B145" t="s">
        <v>87</v>
      </c>
      <c r="C145" s="11">
        <v>34</v>
      </c>
      <c r="D145">
        <v>14</v>
      </c>
      <c r="E145">
        <v>6</v>
      </c>
      <c r="F145">
        <f t="shared" si="39"/>
        <v>14</v>
      </c>
      <c r="G145" s="11">
        <f t="shared" si="40"/>
        <v>48</v>
      </c>
      <c r="H145">
        <v>61</v>
      </c>
      <c r="I145">
        <v>42</v>
      </c>
      <c r="J145" s="11">
        <f t="shared" si="41"/>
        <v>19</v>
      </c>
      <c r="K145" s="24"/>
      <c r="L145" t="str">
        <f t="shared" si="37"/>
        <v/>
      </c>
      <c r="M145" t="s">
        <v>55</v>
      </c>
      <c r="N145">
        <v>34</v>
      </c>
      <c r="O145">
        <v>13</v>
      </c>
      <c r="P145">
        <v>8</v>
      </c>
      <c r="Q145">
        <f t="shared" si="42"/>
        <v>13</v>
      </c>
      <c r="R145" s="11">
        <f t="shared" si="38"/>
        <v>47</v>
      </c>
      <c r="S145">
        <v>73</v>
      </c>
      <c r="T145">
        <v>53</v>
      </c>
      <c r="U145">
        <f t="shared" si="43"/>
        <v>20</v>
      </c>
    </row>
    <row r="146" spans="1:21" x14ac:dyDescent="0.3">
      <c r="B146" s="19" t="s">
        <v>85</v>
      </c>
      <c r="C146" s="20">
        <v>34</v>
      </c>
      <c r="D146" s="19">
        <v>14</v>
      </c>
      <c r="E146" s="19">
        <v>6</v>
      </c>
      <c r="F146" s="19">
        <f t="shared" si="39"/>
        <v>14</v>
      </c>
      <c r="G146" s="20">
        <f t="shared" si="40"/>
        <v>48</v>
      </c>
      <c r="H146" s="19">
        <v>60</v>
      </c>
      <c r="I146" s="19">
        <v>62</v>
      </c>
      <c r="J146" s="20">
        <f t="shared" si="41"/>
        <v>-2</v>
      </c>
      <c r="K146" s="24"/>
      <c r="L146" t="str">
        <f t="shared" si="37"/>
        <v/>
      </c>
      <c r="M146" t="s">
        <v>110</v>
      </c>
      <c r="N146">
        <v>34</v>
      </c>
      <c r="O146">
        <v>13</v>
      </c>
      <c r="P146">
        <v>8</v>
      </c>
      <c r="Q146">
        <f t="shared" si="42"/>
        <v>13</v>
      </c>
      <c r="R146" s="11">
        <f t="shared" si="38"/>
        <v>47</v>
      </c>
      <c r="S146">
        <v>50</v>
      </c>
      <c r="T146">
        <v>46</v>
      </c>
      <c r="U146">
        <f t="shared" si="43"/>
        <v>4</v>
      </c>
    </row>
    <row r="147" spans="1:21" x14ac:dyDescent="0.3">
      <c r="B147" t="s">
        <v>100</v>
      </c>
      <c r="C147" s="11">
        <v>34</v>
      </c>
      <c r="D147">
        <v>13</v>
      </c>
      <c r="E147">
        <v>9</v>
      </c>
      <c r="F147">
        <f t="shared" si="39"/>
        <v>12</v>
      </c>
      <c r="G147" s="11">
        <f t="shared" si="40"/>
        <v>48</v>
      </c>
      <c r="H147">
        <v>57</v>
      </c>
      <c r="I147">
        <v>62</v>
      </c>
      <c r="J147" s="11">
        <f t="shared" si="41"/>
        <v>-5</v>
      </c>
      <c r="K147" s="24"/>
      <c r="L147" t="str">
        <f t="shared" si="37"/>
        <v/>
      </c>
      <c r="M147" t="s">
        <v>111</v>
      </c>
      <c r="N147">
        <v>34</v>
      </c>
      <c r="O147">
        <v>15</v>
      </c>
      <c r="P147">
        <v>2</v>
      </c>
      <c r="Q147">
        <f t="shared" si="42"/>
        <v>17</v>
      </c>
      <c r="R147" s="11">
        <f t="shared" si="38"/>
        <v>47</v>
      </c>
      <c r="S147">
        <v>62</v>
      </c>
      <c r="T147">
        <v>64</v>
      </c>
      <c r="U147">
        <f t="shared" si="43"/>
        <v>-2</v>
      </c>
    </row>
    <row r="148" spans="1:21" x14ac:dyDescent="0.3">
      <c r="B148" t="s">
        <v>68</v>
      </c>
      <c r="C148" s="11">
        <v>34</v>
      </c>
      <c r="D148">
        <v>14</v>
      </c>
      <c r="E148">
        <v>5</v>
      </c>
      <c r="F148">
        <f t="shared" si="39"/>
        <v>15</v>
      </c>
      <c r="G148" s="11">
        <f t="shared" si="40"/>
        <v>47</v>
      </c>
      <c r="H148">
        <v>62</v>
      </c>
      <c r="I148">
        <v>67</v>
      </c>
      <c r="J148" s="11">
        <f t="shared" si="41"/>
        <v>-5</v>
      </c>
      <c r="K148" s="24"/>
      <c r="L148" t="str">
        <f t="shared" si="37"/>
        <v/>
      </c>
      <c r="M148" t="s">
        <v>112</v>
      </c>
      <c r="N148">
        <v>34</v>
      </c>
      <c r="O148">
        <v>13</v>
      </c>
      <c r="P148">
        <v>8</v>
      </c>
      <c r="Q148">
        <f t="shared" si="42"/>
        <v>13</v>
      </c>
      <c r="R148" s="11">
        <f>O148*3+P148*1</f>
        <v>47</v>
      </c>
      <c r="S148">
        <v>45</v>
      </c>
      <c r="T148">
        <v>48</v>
      </c>
      <c r="U148">
        <f t="shared" si="43"/>
        <v>-3</v>
      </c>
    </row>
    <row r="149" spans="1:21" x14ac:dyDescent="0.3">
      <c r="B149" t="s">
        <v>101</v>
      </c>
      <c r="C149" s="11">
        <v>34</v>
      </c>
      <c r="D149">
        <v>14</v>
      </c>
      <c r="E149">
        <v>5</v>
      </c>
      <c r="F149">
        <f t="shared" si="39"/>
        <v>15</v>
      </c>
      <c r="G149" s="11">
        <f t="shared" si="40"/>
        <v>47</v>
      </c>
      <c r="H149">
        <v>49</v>
      </c>
      <c r="I149">
        <v>54</v>
      </c>
      <c r="J149" s="11">
        <f t="shared" si="41"/>
        <v>-5</v>
      </c>
      <c r="K149" s="24"/>
      <c r="L149" t="str">
        <f t="shared" si="37"/>
        <v/>
      </c>
      <c r="M149" t="s">
        <v>32</v>
      </c>
      <c r="N149">
        <v>34</v>
      </c>
      <c r="O149">
        <v>8</v>
      </c>
      <c r="P149">
        <v>12</v>
      </c>
      <c r="Q149">
        <f t="shared" si="42"/>
        <v>14</v>
      </c>
      <c r="R149" s="11">
        <f t="shared" si="38"/>
        <v>36</v>
      </c>
      <c r="S149">
        <v>55</v>
      </c>
      <c r="T149">
        <v>70</v>
      </c>
      <c r="U149">
        <f t="shared" si="43"/>
        <v>-15</v>
      </c>
    </row>
    <row r="150" spans="1:21" x14ac:dyDescent="0.3">
      <c r="B150" t="s">
        <v>102</v>
      </c>
      <c r="C150" s="11">
        <v>34</v>
      </c>
      <c r="D150">
        <v>12</v>
      </c>
      <c r="E150">
        <v>9</v>
      </c>
      <c r="F150">
        <f t="shared" si="39"/>
        <v>13</v>
      </c>
      <c r="G150" s="11">
        <f t="shared" si="40"/>
        <v>45</v>
      </c>
      <c r="H150">
        <v>56</v>
      </c>
      <c r="I150">
        <v>73</v>
      </c>
      <c r="J150" s="11">
        <f t="shared" si="41"/>
        <v>-17</v>
      </c>
      <c r="K150" s="24"/>
      <c r="L150" t="str">
        <f t="shared" si="37"/>
        <v/>
      </c>
      <c r="M150" t="s">
        <v>113</v>
      </c>
      <c r="N150">
        <v>34</v>
      </c>
      <c r="O150">
        <v>10</v>
      </c>
      <c r="P150">
        <v>6</v>
      </c>
      <c r="Q150">
        <f t="shared" si="42"/>
        <v>18</v>
      </c>
      <c r="R150" s="11">
        <f>O150*3+P150*1</f>
        <v>36</v>
      </c>
      <c r="S150">
        <v>47</v>
      </c>
      <c r="T150">
        <v>70</v>
      </c>
      <c r="U150">
        <f t="shared" si="43"/>
        <v>-23</v>
      </c>
    </row>
    <row r="151" spans="1:21" x14ac:dyDescent="0.3">
      <c r="B151" s="3" t="s">
        <v>90</v>
      </c>
      <c r="C151" s="12">
        <v>34</v>
      </c>
      <c r="D151" s="3">
        <v>13</v>
      </c>
      <c r="E151" s="3">
        <v>5</v>
      </c>
      <c r="F151" s="3">
        <f t="shared" si="39"/>
        <v>16</v>
      </c>
      <c r="G151" s="12">
        <f t="shared" si="40"/>
        <v>44</v>
      </c>
      <c r="H151" s="3">
        <v>56</v>
      </c>
      <c r="I151" s="3">
        <v>64</v>
      </c>
      <c r="J151" s="12">
        <f t="shared" si="41"/>
        <v>-8</v>
      </c>
      <c r="K151" s="24"/>
      <c r="L151" t="str">
        <f t="shared" si="37"/>
        <v/>
      </c>
      <c r="M151" s="3" t="s">
        <v>114</v>
      </c>
      <c r="N151" s="3">
        <v>34</v>
      </c>
      <c r="O151" s="3">
        <v>8</v>
      </c>
      <c r="P151" s="3">
        <v>7</v>
      </c>
      <c r="Q151" s="3">
        <f t="shared" si="42"/>
        <v>19</v>
      </c>
      <c r="R151" s="12">
        <f>O151*3+P151*1-1</f>
        <v>30</v>
      </c>
      <c r="S151" s="3">
        <v>28</v>
      </c>
      <c r="T151" s="3">
        <v>66</v>
      </c>
      <c r="U151" s="3">
        <f t="shared" si="43"/>
        <v>-38</v>
      </c>
    </row>
    <row r="152" spans="1:21" x14ac:dyDescent="0.3">
      <c r="B152" s="3" t="s">
        <v>103</v>
      </c>
      <c r="C152" s="12">
        <v>34</v>
      </c>
      <c r="D152" s="3">
        <v>10</v>
      </c>
      <c r="E152" s="3">
        <v>3</v>
      </c>
      <c r="F152" s="3">
        <f t="shared" si="39"/>
        <v>21</v>
      </c>
      <c r="G152" s="12">
        <f t="shared" si="40"/>
        <v>33</v>
      </c>
      <c r="H152" s="3">
        <v>45</v>
      </c>
      <c r="I152" s="3">
        <v>87</v>
      </c>
      <c r="J152" s="12">
        <f t="shared" si="41"/>
        <v>-42</v>
      </c>
      <c r="K152" s="24"/>
      <c r="L152" t="str">
        <f t="shared" si="37"/>
        <v/>
      </c>
      <c r="M152" s="3" t="s">
        <v>80</v>
      </c>
      <c r="N152" s="3">
        <v>34</v>
      </c>
      <c r="O152" s="3">
        <v>8</v>
      </c>
      <c r="P152" s="3">
        <v>5</v>
      </c>
      <c r="Q152" s="3">
        <f t="shared" si="42"/>
        <v>21</v>
      </c>
      <c r="R152" s="12">
        <f t="shared" si="38"/>
        <v>29</v>
      </c>
      <c r="S152" s="3">
        <v>40</v>
      </c>
      <c r="T152" s="3">
        <v>64</v>
      </c>
      <c r="U152" s="3">
        <f t="shared" si="43"/>
        <v>-24</v>
      </c>
    </row>
    <row r="153" spans="1:21" x14ac:dyDescent="0.3">
      <c r="B153" s="4" t="s">
        <v>104</v>
      </c>
      <c r="C153" s="13">
        <v>34</v>
      </c>
      <c r="D153" s="4">
        <v>6</v>
      </c>
      <c r="E153" s="4">
        <v>7</v>
      </c>
      <c r="F153" s="4">
        <f t="shared" si="39"/>
        <v>21</v>
      </c>
      <c r="G153" s="13">
        <f t="shared" si="40"/>
        <v>25</v>
      </c>
      <c r="H153" s="4">
        <v>44</v>
      </c>
      <c r="I153" s="4">
        <v>70</v>
      </c>
      <c r="J153" s="13">
        <f t="shared" si="41"/>
        <v>-26</v>
      </c>
      <c r="K153" s="24"/>
      <c r="L153" t="str">
        <f t="shared" si="37"/>
        <v/>
      </c>
      <c r="M153" s="4" t="s">
        <v>115</v>
      </c>
      <c r="N153" s="4">
        <v>34</v>
      </c>
      <c r="O153" s="4">
        <v>7</v>
      </c>
      <c r="P153" s="4">
        <v>5</v>
      </c>
      <c r="Q153" s="4">
        <f t="shared" si="42"/>
        <v>22</v>
      </c>
      <c r="R153" s="13">
        <f t="shared" si="38"/>
        <v>26</v>
      </c>
      <c r="S153" s="4">
        <v>29</v>
      </c>
      <c r="T153" s="4">
        <v>79</v>
      </c>
      <c r="U153" s="4">
        <f t="shared" si="43"/>
        <v>-50</v>
      </c>
    </row>
    <row r="154" spans="1:21" x14ac:dyDescent="0.3">
      <c r="B154" s="4" t="s">
        <v>105</v>
      </c>
      <c r="C154" s="13">
        <v>34</v>
      </c>
      <c r="D154" s="4">
        <v>3</v>
      </c>
      <c r="E154" s="4">
        <v>5</v>
      </c>
      <c r="F154" s="4">
        <f t="shared" si="39"/>
        <v>26</v>
      </c>
      <c r="G154" s="13">
        <f t="shared" si="40"/>
        <v>14</v>
      </c>
      <c r="H154" s="4">
        <v>29</v>
      </c>
      <c r="I154" s="4">
        <v>108</v>
      </c>
      <c r="J154" s="13">
        <f t="shared" si="41"/>
        <v>-79</v>
      </c>
      <c r="K154" s="24"/>
      <c r="L154" t="str">
        <f t="shared" si="37"/>
        <v/>
      </c>
      <c r="M154" s="4" t="s">
        <v>116</v>
      </c>
      <c r="N154" s="4">
        <v>34</v>
      </c>
      <c r="O154" s="4">
        <v>6</v>
      </c>
      <c r="P154" s="4">
        <v>2</v>
      </c>
      <c r="Q154" s="4">
        <f t="shared" si="42"/>
        <v>26</v>
      </c>
      <c r="R154" s="13">
        <f t="shared" si="38"/>
        <v>20</v>
      </c>
      <c r="S154" s="4">
        <v>34</v>
      </c>
      <c r="T154" s="4">
        <v>91</v>
      </c>
      <c r="U154" s="4">
        <f t="shared" si="43"/>
        <v>-57</v>
      </c>
    </row>
    <row r="155" spans="1:21" x14ac:dyDescent="0.3">
      <c r="L155" t="str">
        <f t="shared" si="37"/>
        <v/>
      </c>
    </row>
    <row r="156" spans="1:21" x14ac:dyDescent="0.3">
      <c r="A156" t="s">
        <v>148</v>
      </c>
      <c r="B156" t="s">
        <v>89</v>
      </c>
      <c r="C156">
        <v>34</v>
      </c>
      <c r="D156">
        <v>15</v>
      </c>
      <c r="E156">
        <v>7</v>
      </c>
      <c r="F156">
        <v>12</v>
      </c>
      <c r="G156">
        <v>43</v>
      </c>
      <c r="H156">
        <v>39</v>
      </c>
      <c r="I156">
        <v>4</v>
      </c>
      <c r="J156">
        <v>52</v>
      </c>
      <c r="L156" t="str">
        <f t="shared" si="37"/>
        <v>2024/25</v>
      </c>
      <c r="M156" t="s">
        <v>123</v>
      </c>
      <c r="N156">
        <v>34</v>
      </c>
      <c r="O156">
        <v>19</v>
      </c>
      <c r="P156">
        <v>7</v>
      </c>
      <c r="Q156">
        <v>8</v>
      </c>
      <c r="R156">
        <v>73</v>
      </c>
      <c r="S156">
        <v>45</v>
      </c>
      <c r="T156">
        <v>28</v>
      </c>
      <c r="U156">
        <v>64</v>
      </c>
    </row>
    <row r="157" spans="1:21" x14ac:dyDescent="0.3">
      <c r="B157" t="s">
        <v>94</v>
      </c>
      <c r="C157">
        <v>34</v>
      </c>
      <c r="D157">
        <v>9</v>
      </c>
      <c r="E157">
        <v>9</v>
      </c>
      <c r="F157">
        <v>16</v>
      </c>
      <c r="G157">
        <v>46</v>
      </c>
      <c r="H157">
        <v>71</v>
      </c>
      <c r="I157">
        <v>-25</v>
      </c>
      <c r="J157">
        <v>36</v>
      </c>
      <c r="L157" t="str">
        <f t="shared" si="37"/>
        <v/>
      </c>
      <c r="M157" t="s">
        <v>108</v>
      </c>
      <c r="N157">
        <v>34</v>
      </c>
      <c r="O157">
        <v>17</v>
      </c>
      <c r="P157">
        <v>7</v>
      </c>
      <c r="Q157">
        <v>10</v>
      </c>
      <c r="R157">
        <v>57</v>
      </c>
      <c r="S157">
        <v>50</v>
      </c>
      <c r="T157">
        <v>7</v>
      </c>
      <c r="U157">
        <v>58</v>
      </c>
    </row>
    <row r="158" spans="1:21" x14ac:dyDescent="0.3">
      <c r="B158" t="s">
        <v>8</v>
      </c>
      <c r="C158">
        <v>34</v>
      </c>
      <c r="D158">
        <v>21</v>
      </c>
      <c r="E158">
        <v>7</v>
      </c>
      <c r="F158">
        <v>6</v>
      </c>
      <c r="G158">
        <v>74</v>
      </c>
      <c r="H158">
        <v>46</v>
      </c>
      <c r="I158">
        <v>28</v>
      </c>
      <c r="J158">
        <v>70</v>
      </c>
      <c r="L158" t="str">
        <f t="shared" si="37"/>
        <v/>
      </c>
      <c r="M158" t="s">
        <v>111</v>
      </c>
      <c r="N158">
        <v>34</v>
      </c>
      <c r="O158">
        <v>5</v>
      </c>
      <c r="P158">
        <v>4</v>
      </c>
      <c r="Q158">
        <v>25</v>
      </c>
      <c r="R158">
        <v>42</v>
      </c>
      <c r="S158">
        <v>105</v>
      </c>
      <c r="T158">
        <v>-63</v>
      </c>
      <c r="U158">
        <v>19</v>
      </c>
    </row>
    <row r="159" spans="1:21" x14ac:dyDescent="0.3">
      <c r="B159" t="s">
        <v>117</v>
      </c>
      <c r="C159">
        <v>34</v>
      </c>
      <c r="D159">
        <v>13</v>
      </c>
      <c r="E159">
        <v>9</v>
      </c>
      <c r="F159">
        <v>12</v>
      </c>
      <c r="G159">
        <v>52</v>
      </c>
      <c r="H159">
        <v>44</v>
      </c>
      <c r="I159">
        <v>8</v>
      </c>
      <c r="J159">
        <v>48</v>
      </c>
      <c r="L159" t="str">
        <f t="shared" si="37"/>
        <v/>
      </c>
      <c r="M159" t="s">
        <v>2</v>
      </c>
      <c r="N159">
        <v>34</v>
      </c>
      <c r="O159">
        <v>15</v>
      </c>
      <c r="P159">
        <v>9</v>
      </c>
      <c r="Q159">
        <v>10</v>
      </c>
      <c r="R159">
        <v>55</v>
      </c>
      <c r="S159">
        <v>41</v>
      </c>
      <c r="T159">
        <v>14</v>
      </c>
      <c r="U159">
        <v>54</v>
      </c>
    </row>
    <row r="160" spans="1:21" x14ac:dyDescent="0.3">
      <c r="B160" t="s">
        <v>87</v>
      </c>
      <c r="C160">
        <v>34</v>
      </c>
      <c r="D160">
        <v>19</v>
      </c>
      <c r="E160">
        <v>8</v>
      </c>
      <c r="F160">
        <v>7</v>
      </c>
      <c r="G160">
        <v>78</v>
      </c>
      <c r="H160">
        <v>52</v>
      </c>
      <c r="I160">
        <v>26</v>
      </c>
      <c r="J160">
        <v>65</v>
      </c>
      <c r="L160" t="str">
        <f t="shared" si="37"/>
        <v/>
      </c>
      <c r="M160" t="s">
        <v>124</v>
      </c>
      <c r="N160">
        <v>34</v>
      </c>
      <c r="O160">
        <v>20</v>
      </c>
      <c r="P160">
        <v>10</v>
      </c>
      <c r="Q160">
        <v>4</v>
      </c>
      <c r="R160">
        <v>77</v>
      </c>
      <c r="S160">
        <v>33</v>
      </c>
      <c r="T160">
        <v>44</v>
      </c>
      <c r="U160">
        <v>70</v>
      </c>
    </row>
    <row r="161" spans="1:21" x14ac:dyDescent="0.3">
      <c r="B161" t="s">
        <v>88</v>
      </c>
      <c r="C161">
        <v>34</v>
      </c>
      <c r="D161">
        <v>16</v>
      </c>
      <c r="E161">
        <v>10</v>
      </c>
      <c r="F161">
        <v>8</v>
      </c>
      <c r="G161">
        <v>68</v>
      </c>
      <c r="H161">
        <v>50</v>
      </c>
      <c r="I161">
        <v>18</v>
      </c>
      <c r="J161">
        <v>58</v>
      </c>
      <c r="L161" t="str">
        <f t="shared" si="37"/>
        <v/>
      </c>
      <c r="M161" t="s">
        <v>85</v>
      </c>
      <c r="N161">
        <v>34</v>
      </c>
      <c r="O161">
        <v>13</v>
      </c>
      <c r="P161">
        <v>6</v>
      </c>
      <c r="Q161">
        <v>15</v>
      </c>
      <c r="R161">
        <v>63</v>
      </c>
      <c r="S161">
        <v>72</v>
      </c>
      <c r="T161">
        <v>-9</v>
      </c>
      <c r="U161">
        <v>45</v>
      </c>
    </row>
    <row r="162" spans="1:21" x14ac:dyDescent="0.3">
      <c r="B162" t="s">
        <v>86</v>
      </c>
      <c r="C162">
        <v>34</v>
      </c>
      <c r="D162">
        <v>20</v>
      </c>
      <c r="E162">
        <v>7</v>
      </c>
      <c r="F162">
        <v>7</v>
      </c>
      <c r="G162">
        <v>78</v>
      </c>
      <c r="H162">
        <v>37</v>
      </c>
      <c r="I162">
        <v>41</v>
      </c>
      <c r="J162">
        <v>67</v>
      </c>
      <c r="L162" t="str">
        <f t="shared" si="37"/>
        <v/>
      </c>
      <c r="M162" t="s">
        <v>125</v>
      </c>
      <c r="N162">
        <v>34</v>
      </c>
      <c r="O162">
        <v>9</v>
      </c>
      <c r="P162">
        <v>7</v>
      </c>
      <c r="Q162">
        <v>18</v>
      </c>
      <c r="R162">
        <v>51</v>
      </c>
      <c r="S162">
        <v>69</v>
      </c>
      <c r="T162">
        <v>-18</v>
      </c>
      <c r="U162">
        <v>34</v>
      </c>
    </row>
    <row r="163" spans="1:21" x14ac:dyDescent="0.3">
      <c r="B163" t="s">
        <v>27</v>
      </c>
      <c r="C163">
        <v>34</v>
      </c>
      <c r="D163">
        <v>12</v>
      </c>
      <c r="E163">
        <v>4</v>
      </c>
      <c r="F163">
        <v>18</v>
      </c>
      <c r="G163">
        <v>50</v>
      </c>
      <c r="H163">
        <v>66</v>
      </c>
      <c r="I163">
        <v>-16</v>
      </c>
      <c r="J163">
        <v>40</v>
      </c>
      <c r="L163" t="str">
        <f t="shared" si="37"/>
        <v/>
      </c>
      <c r="M163" t="s">
        <v>126</v>
      </c>
      <c r="N163">
        <v>34</v>
      </c>
      <c r="O163">
        <v>13</v>
      </c>
      <c r="P163">
        <v>6</v>
      </c>
      <c r="Q163">
        <v>15</v>
      </c>
      <c r="R163">
        <v>44</v>
      </c>
      <c r="S163">
        <v>50</v>
      </c>
      <c r="T163">
        <v>-6</v>
      </c>
      <c r="U163">
        <v>45</v>
      </c>
    </row>
    <row r="164" spans="1:21" x14ac:dyDescent="0.3">
      <c r="B164" t="s">
        <v>118</v>
      </c>
      <c r="C164">
        <v>34</v>
      </c>
      <c r="D164">
        <v>1</v>
      </c>
      <c r="E164">
        <v>7</v>
      </c>
      <c r="F164">
        <v>26</v>
      </c>
      <c r="G164">
        <v>40</v>
      </c>
      <c r="H164">
        <v>92</v>
      </c>
      <c r="I164">
        <v>-52</v>
      </c>
      <c r="J164">
        <v>10</v>
      </c>
      <c r="L164" t="str">
        <f t="shared" si="37"/>
        <v/>
      </c>
      <c r="M164" t="s">
        <v>32</v>
      </c>
      <c r="N164">
        <v>34</v>
      </c>
      <c r="O164">
        <v>11</v>
      </c>
      <c r="P164">
        <v>6</v>
      </c>
      <c r="Q164">
        <v>17</v>
      </c>
      <c r="R164">
        <v>45</v>
      </c>
      <c r="S164">
        <v>58</v>
      </c>
      <c r="T164">
        <v>-13</v>
      </c>
      <c r="U164">
        <v>39</v>
      </c>
    </row>
    <row r="165" spans="1:21" x14ac:dyDescent="0.3">
      <c r="B165" t="s">
        <v>119</v>
      </c>
      <c r="C165">
        <v>34</v>
      </c>
      <c r="D165">
        <v>16</v>
      </c>
      <c r="E165">
        <v>6</v>
      </c>
      <c r="F165">
        <v>12</v>
      </c>
      <c r="G165">
        <v>65</v>
      </c>
      <c r="H165">
        <v>56</v>
      </c>
      <c r="I165">
        <v>9</v>
      </c>
      <c r="J165">
        <v>54</v>
      </c>
      <c r="L165" t="str">
        <f t="shared" si="37"/>
        <v/>
      </c>
      <c r="M165" t="s">
        <v>127</v>
      </c>
      <c r="N165">
        <v>34</v>
      </c>
      <c r="O165">
        <v>19</v>
      </c>
      <c r="P165">
        <v>7</v>
      </c>
      <c r="Q165">
        <v>8</v>
      </c>
      <c r="R165">
        <v>72</v>
      </c>
      <c r="S165">
        <v>29</v>
      </c>
      <c r="T165">
        <v>43</v>
      </c>
      <c r="U165">
        <v>64</v>
      </c>
    </row>
    <row r="166" spans="1:21" x14ac:dyDescent="0.3">
      <c r="B166" t="s">
        <v>120</v>
      </c>
      <c r="C166">
        <v>34</v>
      </c>
      <c r="D166">
        <v>9</v>
      </c>
      <c r="E166">
        <v>8</v>
      </c>
      <c r="F166">
        <v>17</v>
      </c>
      <c r="G166">
        <v>48</v>
      </c>
      <c r="H166">
        <v>64</v>
      </c>
      <c r="I166">
        <v>-16</v>
      </c>
      <c r="J166">
        <v>35</v>
      </c>
      <c r="L166" t="str">
        <f t="shared" si="37"/>
        <v/>
      </c>
      <c r="M166" t="s">
        <v>16</v>
      </c>
      <c r="N166">
        <v>34</v>
      </c>
      <c r="O166">
        <v>13</v>
      </c>
      <c r="P166">
        <v>9</v>
      </c>
      <c r="Q166">
        <v>12</v>
      </c>
      <c r="R166">
        <v>57</v>
      </c>
      <c r="S166">
        <v>46</v>
      </c>
      <c r="T166">
        <v>11</v>
      </c>
      <c r="U166">
        <v>48</v>
      </c>
    </row>
    <row r="167" spans="1:21" x14ac:dyDescent="0.3">
      <c r="B167" t="s">
        <v>101</v>
      </c>
      <c r="C167">
        <v>34</v>
      </c>
      <c r="D167">
        <v>8</v>
      </c>
      <c r="E167">
        <v>6</v>
      </c>
      <c r="F167">
        <v>20</v>
      </c>
      <c r="G167">
        <v>43</v>
      </c>
      <c r="H167">
        <v>85</v>
      </c>
      <c r="I167">
        <v>-42</v>
      </c>
      <c r="J167">
        <v>30</v>
      </c>
      <c r="L167" t="str">
        <f t="shared" si="37"/>
        <v/>
      </c>
      <c r="M167" t="s">
        <v>4</v>
      </c>
      <c r="N167">
        <v>34</v>
      </c>
      <c r="O167">
        <v>12</v>
      </c>
      <c r="P167">
        <v>6</v>
      </c>
      <c r="Q167">
        <v>16</v>
      </c>
      <c r="R167">
        <v>59</v>
      </c>
      <c r="S167">
        <v>73</v>
      </c>
      <c r="T167">
        <v>-14</v>
      </c>
      <c r="U167">
        <v>42</v>
      </c>
    </row>
    <row r="168" spans="1:21" x14ac:dyDescent="0.3">
      <c r="B168" t="s">
        <v>106</v>
      </c>
      <c r="C168">
        <v>34</v>
      </c>
      <c r="D168">
        <v>11</v>
      </c>
      <c r="E168">
        <v>9</v>
      </c>
      <c r="F168">
        <v>14</v>
      </c>
      <c r="G168">
        <v>46</v>
      </c>
      <c r="H168">
        <v>56</v>
      </c>
      <c r="I168">
        <v>-10</v>
      </c>
      <c r="J168">
        <v>42</v>
      </c>
      <c r="L168" t="str">
        <f t="shared" si="37"/>
        <v/>
      </c>
      <c r="M168" t="s">
        <v>95</v>
      </c>
      <c r="N168">
        <v>34</v>
      </c>
      <c r="O168">
        <v>11</v>
      </c>
      <c r="P168">
        <v>8</v>
      </c>
      <c r="Q168">
        <v>15</v>
      </c>
      <c r="R168">
        <v>55</v>
      </c>
      <c r="S168">
        <v>53</v>
      </c>
      <c r="T168">
        <v>2</v>
      </c>
      <c r="U168">
        <v>41</v>
      </c>
    </row>
    <row r="169" spans="1:21" x14ac:dyDescent="0.3">
      <c r="B169" t="s">
        <v>121</v>
      </c>
      <c r="C169">
        <v>34</v>
      </c>
      <c r="D169">
        <v>10</v>
      </c>
      <c r="E169">
        <v>6</v>
      </c>
      <c r="F169">
        <v>18</v>
      </c>
      <c r="G169">
        <v>44</v>
      </c>
      <c r="H169">
        <v>62</v>
      </c>
      <c r="I169">
        <v>-18</v>
      </c>
      <c r="J169">
        <v>36</v>
      </c>
      <c r="L169" t="str">
        <f t="shared" si="37"/>
        <v/>
      </c>
      <c r="M169" t="s">
        <v>128</v>
      </c>
      <c r="N169">
        <v>34</v>
      </c>
      <c r="O169">
        <v>9</v>
      </c>
      <c r="P169">
        <v>12</v>
      </c>
      <c r="Q169">
        <v>13</v>
      </c>
      <c r="R169">
        <v>53</v>
      </c>
      <c r="S169">
        <v>65</v>
      </c>
      <c r="T169">
        <v>-12</v>
      </c>
      <c r="U169">
        <v>39</v>
      </c>
    </row>
    <row r="170" spans="1:21" x14ac:dyDescent="0.3">
      <c r="B170" t="s">
        <v>98</v>
      </c>
      <c r="C170">
        <v>34</v>
      </c>
      <c r="D170">
        <v>26</v>
      </c>
      <c r="E170">
        <v>4</v>
      </c>
      <c r="F170">
        <v>4</v>
      </c>
      <c r="G170">
        <v>98</v>
      </c>
      <c r="H170">
        <v>35</v>
      </c>
      <c r="I170">
        <v>63</v>
      </c>
      <c r="J170">
        <v>82</v>
      </c>
      <c r="L170" t="str">
        <f t="shared" si="37"/>
        <v/>
      </c>
      <c r="M170" t="s">
        <v>129</v>
      </c>
      <c r="N170">
        <v>34</v>
      </c>
      <c r="O170">
        <v>6</v>
      </c>
      <c r="P170">
        <v>7</v>
      </c>
      <c r="Q170">
        <v>21</v>
      </c>
      <c r="R170">
        <v>53</v>
      </c>
      <c r="S170">
        <v>94</v>
      </c>
      <c r="T170">
        <v>-41</v>
      </c>
      <c r="U170">
        <v>25</v>
      </c>
    </row>
    <row r="171" spans="1:21" x14ac:dyDescent="0.3">
      <c r="B171" t="s">
        <v>100</v>
      </c>
      <c r="C171">
        <v>34</v>
      </c>
      <c r="D171">
        <v>11</v>
      </c>
      <c r="E171">
        <v>10</v>
      </c>
      <c r="F171">
        <v>13</v>
      </c>
      <c r="G171">
        <v>64</v>
      </c>
      <c r="H171">
        <v>66</v>
      </c>
      <c r="I171">
        <v>-2</v>
      </c>
      <c r="J171">
        <v>43</v>
      </c>
      <c r="L171" t="str">
        <f t="shared" si="37"/>
        <v/>
      </c>
      <c r="M171" t="s">
        <v>68</v>
      </c>
      <c r="N171">
        <v>34</v>
      </c>
      <c r="O171">
        <v>15</v>
      </c>
      <c r="P171">
        <v>6</v>
      </c>
      <c r="Q171">
        <v>13</v>
      </c>
      <c r="R171">
        <v>61</v>
      </c>
      <c r="S171">
        <v>61</v>
      </c>
      <c r="T171">
        <v>0</v>
      </c>
      <c r="U171">
        <v>51</v>
      </c>
    </row>
    <row r="172" spans="1:21" x14ac:dyDescent="0.3">
      <c r="B172" t="s">
        <v>102</v>
      </c>
      <c r="C172">
        <v>34</v>
      </c>
      <c r="D172">
        <v>15</v>
      </c>
      <c r="E172">
        <v>2</v>
      </c>
      <c r="F172">
        <v>17</v>
      </c>
      <c r="G172">
        <v>56</v>
      </c>
      <c r="H172">
        <v>67</v>
      </c>
      <c r="I172">
        <v>-11</v>
      </c>
      <c r="J172">
        <v>47</v>
      </c>
      <c r="L172" t="str">
        <f t="shared" si="37"/>
        <v/>
      </c>
      <c r="M172" t="s">
        <v>112</v>
      </c>
      <c r="N172">
        <v>34</v>
      </c>
      <c r="O172">
        <v>18</v>
      </c>
      <c r="P172">
        <v>7</v>
      </c>
      <c r="Q172">
        <v>9</v>
      </c>
      <c r="R172">
        <v>66</v>
      </c>
      <c r="S172">
        <v>42</v>
      </c>
      <c r="T172">
        <v>24</v>
      </c>
      <c r="U172">
        <v>61</v>
      </c>
    </row>
    <row r="173" spans="1:21" x14ac:dyDescent="0.3">
      <c r="B173" t="s">
        <v>122</v>
      </c>
      <c r="C173">
        <v>34</v>
      </c>
      <c r="D173">
        <v>11</v>
      </c>
      <c r="E173">
        <v>7</v>
      </c>
      <c r="F173">
        <v>16</v>
      </c>
      <c r="G173">
        <v>63</v>
      </c>
      <c r="H173">
        <v>68</v>
      </c>
      <c r="I173">
        <v>-5</v>
      </c>
      <c r="J173">
        <v>40</v>
      </c>
      <c r="L173" t="str">
        <f t="shared" si="37"/>
        <v/>
      </c>
      <c r="M173" t="s">
        <v>110</v>
      </c>
      <c r="N173">
        <v>34</v>
      </c>
      <c r="O173">
        <v>15</v>
      </c>
      <c r="P173">
        <v>8</v>
      </c>
      <c r="Q173">
        <v>11</v>
      </c>
      <c r="R173">
        <v>51</v>
      </c>
      <c r="S173">
        <v>48</v>
      </c>
      <c r="T173">
        <v>3</v>
      </c>
      <c r="U173">
        <v>53</v>
      </c>
    </row>
    <row r="174" spans="1:21" x14ac:dyDescent="0.3">
      <c r="L174" t="str">
        <f t="shared" si="37"/>
        <v/>
      </c>
      <c r="M174" s="11"/>
      <c r="N174" s="11"/>
      <c r="O174" s="11"/>
      <c r="P174" s="11"/>
      <c r="Q174" s="11"/>
      <c r="R174" s="11"/>
      <c r="S174" s="11"/>
      <c r="T174" s="11"/>
      <c r="U174" s="11"/>
    </row>
    <row r="175" spans="1:21" x14ac:dyDescent="0.3">
      <c r="A175" t="s">
        <v>149</v>
      </c>
      <c r="B175" t="s">
        <v>122</v>
      </c>
      <c r="C175">
        <v>34</v>
      </c>
      <c r="D175">
        <v>20</v>
      </c>
      <c r="E175">
        <v>7</v>
      </c>
      <c r="F175">
        <f>34-D175-E175</f>
        <v>7</v>
      </c>
      <c r="G175" s="11">
        <f>D175*3+E175</f>
        <v>67</v>
      </c>
      <c r="H175">
        <v>63</v>
      </c>
      <c r="I175">
        <v>36</v>
      </c>
      <c r="J175">
        <f>H175-I175</f>
        <v>27</v>
      </c>
      <c r="L175" t="str">
        <f t="shared" si="37"/>
        <v>2025/26</v>
      </c>
      <c r="M175" t="s">
        <v>112</v>
      </c>
      <c r="N175">
        <v>34</v>
      </c>
      <c r="O175">
        <v>22</v>
      </c>
      <c r="P175">
        <v>7</v>
      </c>
      <c r="Q175">
        <f>34-O175-P175</f>
        <v>5</v>
      </c>
      <c r="R175" s="11">
        <f>O175*3+P175</f>
        <v>73</v>
      </c>
      <c r="S175">
        <v>67</v>
      </c>
      <c r="T175">
        <v>43</v>
      </c>
      <c r="U175">
        <f>S175-T175</f>
        <v>24</v>
      </c>
    </row>
    <row r="176" spans="1:21" x14ac:dyDescent="0.3">
      <c r="B176" t="s">
        <v>87</v>
      </c>
      <c r="C176">
        <v>34</v>
      </c>
      <c r="D176">
        <v>17</v>
      </c>
      <c r="E176">
        <v>11</v>
      </c>
      <c r="F176">
        <f t="shared" ref="F176:F192" si="44">34-D176-E176</f>
        <v>6</v>
      </c>
      <c r="G176" s="11">
        <f t="shared" ref="G176:G192" si="45">D176*3+E176</f>
        <v>62</v>
      </c>
      <c r="H176">
        <v>59</v>
      </c>
      <c r="I176">
        <v>39</v>
      </c>
      <c r="J176">
        <f t="shared" ref="J176:J192" si="46">H176-I176</f>
        <v>20</v>
      </c>
      <c r="L176" t="str">
        <f t="shared" si="37"/>
        <v/>
      </c>
      <c r="M176" t="s">
        <v>2</v>
      </c>
      <c r="N176">
        <v>34</v>
      </c>
      <c r="O176">
        <v>20</v>
      </c>
      <c r="P176">
        <v>8</v>
      </c>
      <c r="Q176">
        <f t="shared" ref="Q176:Q192" si="47">34-O176-P176</f>
        <v>6</v>
      </c>
      <c r="R176" s="11">
        <f t="shared" ref="R176:R192" si="48">O176*3+P176</f>
        <v>68</v>
      </c>
      <c r="S176">
        <v>67</v>
      </c>
      <c r="T176">
        <v>33</v>
      </c>
      <c r="U176">
        <f t="shared" ref="U176:U192" si="49">S176-T176</f>
        <v>34</v>
      </c>
    </row>
    <row r="177" spans="2:21" x14ac:dyDescent="0.3">
      <c r="B177" t="s">
        <v>88</v>
      </c>
      <c r="C177">
        <v>34</v>
      </c>
      <c r="D177">
        <v>19</v>
      </c>
      <c r="E177">
        <v>4</v>
      </c>
      <c r="F177">
        <f t="shared" si="44"/>
        <v>11</v>
      </c>
      <c r="G177" s="11">
        <f t="shared" si="45"/>
        <v>61</v>
      </c>
      <c r="H177">
        <v>84</v>
      </c>
      <c r="I177">
        <v>43</v>
      </c>
      <c r="J177">
        <f t="shared" si="46"/>
        <v>41</v>
      </c>
      <c r="L177" t="str">
        <f t="shared" si="37"/>
        <v/>
      </c>
      <c r="M177" t="s">
        <v>68</v>
      </c>
      <c r="N177">
        <v>34</v>
      </c>
      <c r="O177">
        <v>21</v>
      </c>
      <c r="P177">
        <v>5</v>
      </c>
      <c r="Q177">
        <f t="shared" si="47"/>
        <v>8</v>
      </c>
      <c r="R177" s="11">
        <f t="shared" si="48"/>
        <v>68</v>
      </c>
      <c r="S177">
        <v>68</v>
      </c>
      <c r="T177">
        <v>37</v>
      </c>
      <c r="U177">
        <f t="shared" si="49"/>
        <v>31</v>
      </c>
    </row>
    <row r="178" spans="2:21" x14ac:dyDescent="0.3">
      <c r="B178" t="s">
        <v>49</v>
      </c>
      <c r="C178">
        <v>34</v>
      </c>
      <c r="D178">
        <v>17</v>
      </c>
      <c r="E178">
        <v>9</v>
      </c>
      <c r="F178">
        <f t="shared" si="44"/>
        <v>8</v>
      </c>
      <c r="G178" s="11">
        <f t="shared" si="45"/>
        <v>60</v>
      </c>
      <c r="H178">
        <v>46</v>
      </c>
      <c r="I178">
        <v>36</v>
      </c>
      <c r="J178">
        <f t="shared" si="46"/>
        <v>10</v>
      </c>
      <c r="L178" t="str">
        <f t="shared" si="37"/>
        <v/>
      </c>
      <c r="M178" t="s">
        <v>85</v>
      </c>
      <c r="N178">
        <v>34</v>
      </c>
      <c r="O178">
        <v>19</v>
      </c>
      <c r="P178">
        <v>7</v>
      </c>
      <c r="Q178">
        <f t="shared" si="47"/>
        <v>8</v>
      </c>
      <c r="R178" s="11">
        <f t="shared" si="48"/>
        <v>64</v>
      </c>
      <c r="S178">
        <v>63</v>
      </c>
      <c r="T178">
        <v>39</v>
      </c>
      <c r="U178">
        <f t="shared" si="49"/>
        <v>24</v>
      </c>
    </row>
    <row r="179" spans="2:21" x14ac:dyDescent="0.3">
      <c r="B179" t="s">
        <v>117</v>
      </c>
      <c r="C179">
        <v>34</v>
      </c>
      <c r="D179">
        <v>17</v>
      </c>
      <c r="E179">
        <v>5</v>
      </c>
      <c r="F179">
        <f t="shared" si="44"/>
        <v>12</v>
      </c>
      <c r="G179" s="11">
        <f t="shared" si="45"/>
        <v>56</v>
      </c>
      <c r="H179">
        <v>61</v>
      </c>
      <c r="I179">
        <v>52</v>
      </c>
      <c r="J179">
        <f t="shared" si="46"/>
        <v>9</v>
      </c>
      <c r="L179" t="str">
        <f t="shared" si="37"/>
        <v/>
      </c>
      <c r="M179" t="s">
        <v>108</v>
      </c>
      <c r="N179">
        <v>34</v>
      </c>
      <c r="O179">
        <v>17</v>
      </c>
      <c r="P179">
        <v>10</v>
      </c>
      <c r="Q179">
        <f t="shared" si="47"/>
        <v>7</v>
      </c>
      <c r="R179" s="11">
        <f t="shared" si="48"/>
        <v>61</v>
      </c>
      <c r="S179">
        <v>71</v>
      </c>
      <c r="T179">
        <v>46</v>
      </c>
      <c r="U179">
        <f t="shared" si="49"/>
        <v>25</v>
      </c>
    </row>
    <row r="180" spans="2:21" x14ac:dyDescent="0.3">
      <c r="B180" t="s">
        <v>90</v>
      </c>
      <c r="C180">
        <v>34</v>
      </c>
      <c r="D180">
        <v>17</v>
      </c>
      <c r="E180">
        <v>3</v>
      </c>
      <c r="F180">
        <f t="shared" si="44"/>
        <v>14</v>
      </c>
      <c r="G180" s="11">
        <f t="shared" si="45"/>
        <v>54</v>
      </c>
      <c r="H180">
        <v>63</v>
      </c>
      <c r="I180">
        <v>53</v>
      </c>
      <c r="J180">
        <f t="shared" si="46"/>
        <v>10</v>
      </c>
      <c r="L180" t="str">
        <f t="shared" si="37"/>
        <v/>
      </c>
      <c r="M180" t="s">
        <v>151</v>
      </c>
      <c r="N180">
        <v>34</v>
      </c>
      <c r="O180">
        <v>15</v>
      </c>
      <c r="P180">
        <v>9</v>
      </c>
      <c r="Q180">
        <f t="shared" si="47"/>
        <v>10</v>
      </c>
      <c r="R180" s="11">
        <f t="shared" si="48"/>
        <v>54</v>
      </c>
      <c r="S180">
        <v>71</v>
      </c>
      <c r="T180">
        <v>58</v>
      </c>
      <c r="U180">
        <f t="shared" si="49"/>
        <v>13</v>
      </c>
    </row>
    <row r="181" spans="2:21" x14ac:dyDescent="0.3">
      <c r="B181" t="s">
        <v>8</v>
      </c>
      <c r="C181">
        <v>34</v>
      </c>
      <c r="D181">
        <v>14</v>
      </c>
      <c r="E181">
        <v>10</v>
      </c>
      <c r="F181">
        <f t="shared" si="44"/>
        <v>10</v>
      </c>
      <c r="G181" s="11">
        <f t="shared" si="45"/>
        <v>52</v>
      </c>
      <c r="H181">
        <v>56</v>
      </c>
      <c r="I181">
        <v>44</v>
      </c>
      <c r="J181">
        <f t="shared" si="46"/>
        <v>12</v>
      </c>
      <c r="L181" t="str">
        <f t="shared" si="37"/>
        <v/>
      </c>
      <c r="M181" t="s">
        <v>95</v>
      </c>
      <c r="N181">
        <v>34</v>
      </c>
      <c r="O181">
        <v>15</v>
      </c>
      <c r="P181">
        <v>8</v>
      </c>
      <c r="Q181">
        <f t="shared" si="47"/>
        <v>11</v>
      </c>
      <c r="R181" s="11">
        <f t="shared" si="48"/>
        <v>53</v>
      </c>
      <c r="S181">
        <v>64</v>
      </c>
      <c r="T181">
        <v>61</v>
      </c>
      <c r="U181">
        <f t="shared" si="49"/>
        <v>3</v>
      </c>
    </row>
    <row r="182" spans="2:21" x14ac:dyDescent="0.3">
      <c r="B182" t="s">
        <v>89</v>
      </c>
      <c r="C182">
        <v>34</v>
      </c>
      <c r="D182">
        <v>15</v>
      </c>
      <c r="E182">
        <v>7</v>
      </c>
      <c r="F182">
        <f t="shared" si="44"/>
        <v>12</v>
      </c>
      <c r="G182" s="11">
        <f t="shared" si="45"/>
        <v>52</v>
      </c>
      <c r="H182">
        <v>53</v>
      </c>
      <c r="I182">
        <v>43</v>
      </c>
      <c r="J182">
        <f t="shared" si="46"/>
        <v>10</v>
      </c>
      <c r="L182" t="str">
        <f t="shared" si="37"/>
        <v/>
      </c>
      <c r="M182" t="s">
        <v>152</v>
      </c>
      <c r="N182">
        <v>34</v>
      </c>
      <c r="O182">
        <v>15</v>
      </c>
      <c r="P182">
        <v>6</v>
      </c>
      <c r="Q182">
        <f t="shared" si="47"/>
        <v>13</v>
      </c>
      <c r="R182" s="11">
        <f t="shared" si="48"/>
        <v>51</v>
      </c>
      <c r="S182">
        <v>61</v>
      </c>
      <c r="T182">
        <v>48</v>
      </c>
      <c r="U182">
        <f t="shared" si="49"/>
        <v>13</v>
      </c>
    </row>
    <row r="183" spans="2:21" x14ac:dyDescent="0.3">
      <c r="B183" t="s">
        <v>100</v>
      </c>
      <c r="C183">
        <v>34</v>
      </c>
      <c r="D183">
        <v>14</v>
      </c>
      <c r="E183">
        <v>8</v>
      </c>
      <c r="F183">
        <f t="shared" si="44"/>
        <v>12</v>
      </c>
      <c r="G183" s="11">
        <f t="shared" si="45"/>
        <v>50</v>
      </c>
      <c r="H183">
        <v>68</v>
      </c>
      <c r="I183">
        <v>59</v>
      </c>
      <c r="J183">
        <f t="shared" si="46"/>
        <v>9</v>
      </c>
      <c r="L183" t="str">
        <f t="shared" si="37"/>
        <v/>
      </c>
      <c r="M183" t="s">
        <v>63</v>
      </c>
      <c r="N183">
        <v>34</v>
      </c>
      <c r="O183">
        <v>14</v>
      </c>
      <c r="P183">
        <v>6</v>
      </c>
      <c r="Q183">
        <f t="shared" si="47"/>
        <v>14</v>
      </c>
      <c r="R183" s="11">
        <f t="shared" si="48"/>
        <v>48</v>
      </c>
      <c r="S183">
        <v>53</v>
      </c>
      <c r="T183">
        <v>51</v>
      </c>
      <c r="U183">
        <f t="shared" si="49"/>
        <v>2</v>
      </c>
    </row>
    <row r="184" spans="2:21" x14ac:dyDescent="0.3">
      <c r="B184" t="s">
        <v>150</v>
      </c>
      <c r="C184">
        <v>34</v>
      </c>
      <c r="D184">
        <v>14</v>
      </c>
      <c r="E184">
        <v>7</v>
      </c>
      <c r="F184">
        <f t="shared" si="44"/>
        <v>13</v>
      </c>
      <c r="G184" s="11">
        <f t="shared" si="45"/>
        <v>49</v>
      </c>
      <c r="H184">
        <v>59</v>
      </c>
      <c r="I184">
        <v>49</v>
      </c>
      <c r="J184">
        <f t="shared" si="46"/>
        <v>10</v>
      </c>
      <c r="L184" t="str">
        <f t="shared" si="37"/>
        <v/>
      </c>
      <c r="M184" t="s">
        <v>153</v>
      </c>
      <c r="N184">
        <v>34</v>
      </c>
      <c r="O184">
        <v>12</v>
      </c>
      <c r="P184">
        <v>8</v>
      </c>
      <c r="Q184">
        <f t="shared" si="47"/>
        <v>14</v>
      </c>
      <c r="R184" s="11">
        <f t="shared" si="48"/>
        <v>44</v>
      </c>
      <c r="S184">
        <v>56</v>
      </c>
      <c r="T184">
        <v>51</v>
      </c>
      <c r="U184">
        <f t="shared" si="49"/>
        <v>5</v>
      </c>
    </row>
    <row r="185" spans="2:21" x14ac:dyDescent="0.3">
      <c r="B185" t="s">
        <v>103</v>
      </c>
      <c r="C185">
        <v>34</v>
      </c>
      <c r="D185">
        <v>14</v>
      </c>
      <c r="E185">
        <v>6</v>
      </c>
      <c r="F185">
        <f t="shared" si="44"/>
        <v>14</v>
      </c>
      <c r="G185" s="11">
        <f t="shared" si="45"/>
        <v>48</v>
      </c>
      <c r="H185">
        <v>54</v>
      </c>
      <c r="I185">
        <v>64</v>
      </c>
      <c r="J185">
        <f t="shared" si="46"/>
        <v>-10</v>
      </c>
      <c r="L185" t="str">
        <f t="shared" si="37"/>
        <v/>
      </c>
      <c r="M185" t="s">
        <v>37</v>
      </c>
      <c r="N185">
        <v>34</v>
      </c>
      <c r="O185">
        <v>11</v>
      </c>
      <c r="P185">
        <v>6</v>
      </c>
      <c r="Q185">
        <f t="shared" si="47"/>
        <v>17</v>
      </c>
      <c r="R185" s="11">
        <f t="shared" si="48"/>
        <v>39</v>
      </c>
      <c r="S185">
        <v>57</v>
      </c>
      <c r="T185">
        <v>74</v>
      </c>
      <c r="U185">
        <f t="shared" si="49"/>
        <v>-17</v>
      </c>
    </row>
    <row r="186" spans="2:21" x14ac:dyDescent="0.3">
      <c r="B186" t="s">
        <v>86</v>
      </c>
      <c r="C186">
        <v>34</v>
      </c>
      <c r="D186">
        <v>14</v>
      </c>
      <c r="E186">
        <v>5</v>
      </c>
      <c r="F186">
        <f t="shared" si="44"/>
        <v>15</v>
      </c>
      <c r="G186" s="11">
        <f t="shared" si="45"/>
        <v>47</v>
      </c>
      <c r="H186">
        <v>54</v>
      </c>
      <c r="I186">
        <v>52</v>
      </c>
      <c r="J186">
        <f t="shared" si="46"/>
        <v>2</v>
      </c>
      <c r="L186" t="str">
        <f t="shared" si="37"/>
        <v/>
      </c>
      <c r="M186" t="s">
        <v>110</v>
      </c>
      <c r="N186">
        <v>34</v>
      </c>
      <c r="O186">
        <v>10</v>
      </c>
      <c r="P186">
        <v>8</v>
      </c>
      <c r="Q186">
        <f t="shared" si="47"/>
        <v>16</v>
      </c>
      <c r="R186" s="11">
        <f t="shared" si="48"/>
        <v>38</v>
      </c>
      <c r="S186">
        <v>51</v>
      </c>
      <c r="T186">
        <v>59</v>
      </c>
      <c r="U186">
        <f t="shared" si="49"/>
        <v>-8</v>
      </c>
    </row>
    <row r="187" spans="2:21" x14ac:dyDescent="0.3">
      <c r="B187" t="s">
        <v>119</v>
      </c>
      <c r="C187">
        <v>34</v>
      </c>
      <c r="D187">
        <v>13</v>
      </c>
      <c r="E187">
        <v>5</v>
      </c>
      <c r="F187">
        <f t="shared" si="44"/>
        <v>16</v>
      </c>
      <c r="G187" s="11">
        <f t="shared" si="45"/>
        <v>44</v>
      </c>
      <c r="H187">
        <v>53</v>
      </c>
      <c r="I187">
        <v>57</v>
      </c>
      <c r="J187">
        <f t="shared" si="46"/>
        <v>-4</v>
      </c>
      <c r="L187" t="str">
        <f t="shared" si="37"/>
        <v/>
      </c>
      <c r="M187" t="s">
        <v>128</v>
      </c>
      <c r="N187">
        <v>34</v>
      </c>
      <c r="O187">
        <v>10</v>
      </c>
      <c r="P187">
        <v>7</v>
      </c>
      <c r="Q187">
        <f t="shared" si="47"/>
        <v>17</v>
      </c>
      <c r="R187" s="11">
        <f t="shared" si="48"/>
        <v>37</v>
      </c>
      <c r="S187">
        <v>43</v>
      </c>
      <c r="T187">
        <v>61</v>
      </c>
      <c r="U187">
        <f t="shared" si="49"/>
        <v>-18</v>
      </c>
    </row>
    <row r="188" spans="2:21" x14ac:dyDescent="0.3">
      <c r="B188" t="s">
        <v>94</v>
      </c>
      <c r="C188">
        <v>34</v>
      </c>
      <c r="D188">
        <v>12</v>
      </c>
      <c r="E188">
        <v>4</v>
      </c>
      <c r="F188">
        <f t="shared" si="44"/>
        <v>18</v>
      </c>
      <c r="G188" s="11">
        <f t="shared" si="45"/>
        <v>40</v>
      </c>
      <c r="H188">
        <v>49</v>
      </c>
      <c r="I188">
        <v>57</v>
      </c>
      <c r="J188">
        <f t="shared" si="46"/>
        <v>-8</v>
      </c>
      <c r="L188" t="str">
        <f t="shared" si="37"/>
        <v/>
      </c>
      <c r="M188" t="s">
        <v>115</v>
      </c>
      <c r="N188">
        <v>34</v>
      </c>
      <c r="O188">
        <v>10</v>
      </c>
      <c r="P188">
        <v>6</v>
      </c>
      <c r="Q188">
        <f t="shared" si="47"/>
        <v>18</v>
      </c>
      <c r="R188" s="11">
        <f t="shared" si="48"/>
        <v>36</v>
      </c>
      <c r="S188">
        <v>45</v>
      </c>
      <c r="T188">
        <v>64</v>
      </c>
      <c r="U188">
        <f t="shared" si="49"/>
        <v>-19</v>
      </c>
    </row>
    <row r="189" spans="2:21" x14ac:dyDescent="0.3">
      <c r="B189" t="s">
        <v>121</v>
      </c>
      <c r="C189">
        <v>34</v>
      </c>
      <c r="D189">
        <v>11</v>
      </c>
      <c r="E189">
        <v>7</v>
      </c>
      <c r="F189">
        <f t="shared" si="44"/>
        <v>16</v>
      </c>
      <c r="G189" s="11">
        <f t="shared" si="45"/>
        <v>40</v>
      </c>
      <c r="H189">
        <v>51</v>
      </c>
      <c r="I189">
        <v>63</v>
      </c>
      <c r="J189">
        <f t="shared" si="46"/>
        <v>-12</v>
      </c>
      <c r="L189" t="str">
        <f t="shared" si="37"/>
        <v/>
      </c>
      <c r="M189" t="s">
        <v>16</v>
      </c>
      <c r="N189">
        <v>34</v>
      </c>
      <c r="O189">
        <v>10</v>
      </c>
      <c r="P189">
        <v>4</v>
      </c>
      <c r="Q189">
        <f t="shared" si="47"/>
        <v>20</v>
      </c>
      <c r="R189" s="11">
        <f t="shared" si="48"/>
        <v>34</v>
      </c>
      <c r="S189">
        <v>35</v>
      </c>
      <c r="T189">
        <v>66</v>
      </c>
      <c r="U189">
        <f t="shared" si="49"/>
        <v>-31</v>
      </c>
    </row>
    <row r="190" spans="2:21" x14ac:dyDescent="0.3">
      <c r="B190" t="s">
        <v>106</v>
      </c>
      <c r="C190">
        <v>34</v>
      </c>
      <c r="D190">
        <v>12</v>
      </c>
      <c r="E190">
        <v>4</v>
      </c>
      <c r="F190">
        <f t="shared" si="44"/>
        <v>18</v>
      </c>
      <c r="G190" s="11">
        <f t="shared" si="45"/>
        <v>40</v>
      </c>
      <c r="H190">
        <v>48</v>
      </c>
      <c r="I190">
        <v>64</v>
      </c>
      <c r="J190">
        <f t="shared" si="46"/>
        <v>-16</v>
      </c>
      <c r="L190" t="str">
        <f t="shared" si="37"/>
        <v/>
      </c>
      <c r="M190" t="s">
        <v>154</v>
      </c>
      <c r="N190">
        <v>34</v>
      </c>
      <c r="O190">
        <v>9</v>
      </c>
      <c r="P190">
        <v>5</v>
      </c>
      <c r="Q190">
        <f t="shared" si="47"/>
        <v>20</v>
      </c>
      <c r="R190" s="11">
        <f t="shared" si="48"/>
        <v>32</v>
      </c>
      <c r="S190">
        <v>49</v>
      </c>
      <c r="T190">
        <v>65</v>
      </c>
      <c r="U190">
        <f t="shared" si="49"/>
        <v>-16</v>
      </c>
    </row>
    <row r="191" spans="2:21" x14ac:dyDescent="0.3">
      <c r="B191" t="s">
        <v>102</v>
      </c>
      <c r="C191">
        <v>34</v>
      </c>
      <c r="D191">
        <v>9</v>
      </c>
      <c r="E191">
        <v>6</v>
      </c>
      <c r="F191">
        <f t="shared" si="44"/>
        <v>19</v>
      </c>
      <c r="G191" s="11">
        <f t="shared" si="45"/>
        <v>33</v>
      </c>
      <c r="H191">
        <v>61</v>
      </c>
      <c r="I191">
        <v>96</v>
      </c>
      <c r="J191">
        <f t="shared" si="46"/>
        <v>-35</v>
      </c>
      <c r="L191" t="str">
        <f t="shared" si="37"/>
        <v/>
      </c>
      <c r="M191" t="s">
        <v>155</v>
      </c>
      <c r="N191">
        <v>34</v>
      </c>
      <c r="O191">
        <v>8</v>
      </c>
      <c r="P191">
        <v>7</v>
      </c>
      <c r="Q191">
        <f t="shared" si="47"/>
        <v>19</v>
      </c>
      <c r="R191" s="11">
        <f t="shared" si="48"/>
        <v>31</v>
      </c>
      <c r="S191">
        <v>47</v>
      </c>
      <c r="T191">
        <v>70</v>
      </c>
      <c r="U191">
        <f t="shared" si="49"/>
        <v>-23</v>
      </c>
    </row>
    <row r="192" spans="2:21" x14ac:dyDescent="0.3">
      <c r="B192" t="s">
        <v>27</v>
      </c>
      <c r="C192">
        <v>34</v>
      </c>
      <c r="D192">
        <v>1</v>
      </c>
      <c r="E192">
        <v>4</v>
      </c>
      <c r="F192">
        <f t="shared" si="44"/>
        <v>29</v>
      </c>
      <c r="G192" s="11">
        <f t="shared" si="45"/>
        <v>7</v>
      </c>
      <c r="H192">
        <v>34</v>
      </c>
      <c r="I192">
        <v>109</v>
      </c>
      <c r="J192">
        <f t="shared" si="46"/>
        <v>-75</v>
      </c>
      <c r="L192" t="str">
        <f t="shared" si="37"/>
        <v/>
      </c>
      <c r="M192" t="s">
        <v>4</v>
      </c>
      <c r="N192">
        <v>34</v>
      </c>
      <c r="O192">
        <v>6</v>
      </c>
      <c r="P192">
        <v>7</v>
      </c>
      <c r="Q192">
        <f t="shared" si="47"/>
        <v>21</v>
      </c>
      <c r="R192" s="11">
        <f t="shared" si="48"/>
        <v>25</v>
      </c>
      <c r="S192">
        <v>45</v>
      </c>
      <c r="T192">
        <v>87</v>
      </c>
      <c r="U192">
        <f t="shared" si="49"/>
        <v>-42</v>
      </c>
    </row>
    <row r="193" spans="7:12" x14ac:dyDescent="0.3">
      <c r="G193" s="11"/>
      <c r="L193" t="str">
        <f t="shared" si="37"/>
        <v/>
      </c>
    </row>
    <row r="194" spans="7:12" x14ac:dyDescent="0.3">
      <c r="L194" t="str">
        <f t="shared" si="37"/>
        <v/>
      </c>
    </row>
    <row r="195" spans="7:12" x14ac:dyDescent="0.3">
      <c r="L195" t="str">
        <f t="shared" si="37"/>
        <v/>
      </c>
    </row>
    <row r="196" spans="7:12" x14ac:dyDescent="0.3">
      <c r="L196" t="str">
        <f t="shared" si="37"/>
        <v/>
      </c>
    </row>
    <row r="197" spans="7:12" x14ac:dyDescent="0.3">
      <c r="L197" t="str">
        <f t="shared" ref="L197:L260" si="50">IF(A197="","",A197)</f>
        <v/>
      </c>
    </row>
    <row r="198" spans="7:12" x14ac:dyDescent="0.3">
      <c r="L198" t="str">
        <f t="shared" si="50"/>
        <v/>
      </c>
    </row>
    <row r="199" spans="7:12" x14ac:dyDescent="0.3">
      <c r="L199" t="str">
        <f t="shared" si="50"/>
        <v/>
      </c>
    </row>
    <row r="200" spans="7:12" x14ac:dyDescent="0.3">
      <c r="L200" t="str">
        <f t="shared" si="50"/>
        <v/>
      </c>
    </row>
    <row r="201" spans="7:12" x14ac:dyDescent="0.3">
      <c r="L201" t="str">
        <f t="shared" si="50"/>
        <v/>
      </c>
    </row>
    <row r="202" spans="7:12" x14ac:dyDescent="0.3">
      <c r="L202" t="str">
        <f t="shared" si="50"/>
        <v/>
      </c>
    </row>
    <row r="203" spans="7:12" x14ac:dyDescent="0.3">
      <c r="L203" t="str">
        <f t="shared" si="50"/>
        <v/>
      </c>
    </row>
    <row r="204" spans="7:12" x14ac:dyDescent="0.3">
      <c r="L204" t="str">
        <f t="shared" si="50"/>
        <v/>
      </c>
    </row>
    <row r="205" spans="7:12" x14ac:dyDescent="0.3">
      <c r="L205" t="str">
        <f t="shared" si="50"/>
        <v/>
      </c>
    </row>
    <row r="206" spans="7:12" x14ac:dyDescent="0.3">
      <c r="L206" t="str">
        <f t="shared" si="50"/>
        <v/>
      </c>
    </row>
    <row r="207" spans="7:12" x14ac:dyDescent="0.3">
      <c r="L207" t="str">
        <f t="shared" si="50"/>
        <v/>
      </c>
    </row>
    <row r="208" spans="7:12" x14ac:dyDescent="0.3">
      <c r="L208" t="str">
        <f t="shared" si="50"/>
        <v/>
      </c>
    </row>
    <row r="209" spans="12:12" x14ac:dyDescent="0.3">
      <c r="L209" t="str">
        <f t="shared" si="50"/>
        <v/>
      </c>
    </row>
    <row r="210" spans="12:12" x14ac:dyDescent="0.3">
      <c r="L210" t="str">
        <f t="shared" si="50"/>
        <v/>
      </c>
    </row>
    <row r="211" spans="12:12" x14ac:dyDescent="0.3">
      <c r="L211" t="str">
        <f t="shared" si="50"/>
        <v/>
      </c>
    </row>
    <row r="212" spans="12:12" x14ac:dyDescent="0.3">
      <c r="L212" t="str">
        <f t="shared" si="50"/>
        <v/>
      </c>
    </row>
    <row r="213" spans="12:12" x14ac:dyDescent="0.3">
      <c r="L213" t="str">
        <f t="shared" si="50"/>
        <v/>
      </c>
    </row>
    <row r="214" spans="12:12" x14ac:dyDescent="0.3">
      <c r="L214" t="str">
        <f t="shared" si="50"/>
        <v/>
      </c>
    </row>
    <row r="215" spans="12:12" x14ac:dyDescent="0.3">
      <c r="L215" t="str">
        <f t="shared" si="50"/>
        <v/>
      </c>
    </row>
    <row r="216" spans="12:12" x14ac:dyDescent="0.3">
      <c r="L216" t="str">
        <f t="shared" si="50"/>
        <v/>
      </c>
    </row>
    <row r="217" spans="12:12" x14ac:dyDescent="0.3">
      <c r="L217" t="str">
        <f t="shared" si="50"/>
        <v/>
      </c>
    </row>
    <row r="218" spans="12:12" x14ac:dyDescent="0.3">
      <c r="L218" t="str">
        <f t="shared" si="50"/>
        <v/>
      </c>
    </row>
    <row r="219" spans="12:12" x14ac:dyDescent="0.3">
      <c r="L219" t="str">
        <f t="shared" si="50"/>
        <v/>
      </c>
    </row>
    <row r="220" spans="12:12" x14ac:dyDescent="0.3">
      <c r="L220" t="str">
        <f t="shared" si="50"/>
        <v/>
      </c>
    </row>
    <row r="221" spans="12:12" x14ac:dyDescent="0.3">
      <c r="L221" t="str">
        <f t="shared" si="50"/>
        <v/>
      </c>
    </row>
    <row r="222" spans="12:12" x14ac:dyDescent="0.3">
      <c r="L222" t="str">
        <f t="shared" si="50"/>
        <v/>
      </c>
    </row>
    <row r="223" spans="12:12" x14ac:dyDescent="0.3">
      <c r="L223" t="str">
        <f t="shared" si="50"/>
        <v/>
      </c>
    </row>
    <row r="224" spans="12:12" x14ac:dyDescent="0.3">
      <c r="L224" t="str">
        <f t="shared" si="50"/>
        <v/>
      </c>
    </row>
    <row r="225" spans="12:12" x14ac:dyDescent="0.3">
      <c r="L225" t="str">
        <f t="shared" si="50"/>
        <v/>
      </c>
    </row>
    <row r="226" spans="12:12" x14ac:dyDescent="0.3">
      <c r="L226" t="str">
        <f t="shared" si="50"/>
        <v/>
      </c>
    </row>
    <row r="227" spans="12:12" x14ac:dyDescent="0.3">
      <c r="L227" t="str">
        <f t="shared" si="50"/>
        <v/>
      </c>
    </row>
    <row r="228" spans="12:12" x14ac:dyDescent="0.3">
      <c r="L228" t="str">
        <f t="shared" si="50"/>
        <v/>
      </c>
    </row>
    <row r="229" spans="12:12" x14ac:dyDescent="0.3">
      <c r="L229" t="str">
        <f t="shared" si="50"/>
        <v/>
      </c>
    </row>
    <row r="230" spans="12:12" x14ac:dyDescent="0.3">
      <c r="L230" t="str">
        <f t="shared" si="50"/>
        <v/>
      </c>
    </row>
    <row r="231" spans="12:12" x14ac:dyDescent="0.3">
      <c r="L231" t="str">
        <f t="shared" si="50"/>
        <v/>
      </c>
    </row>
    <row r="232" spans="12:12" x14ac:dyDescent="0.3">
      <c r="L232" t="str">
        <f t="shared" si="50"/>
        <v/>
      </c>
    </row>
    <row r="233" spans="12:12" x14ac:dyDescent="0.3">
      <c r="L233" t="str">
        <f t="shared" si="50"/>
        <v/>
      </c>
    </row>
    <row r="234" spans="12:12" x14ac:dyDescent="0.3">
      <c r="L234" t="str">
        <f t="shared" si="50"/>
        <v/>
      </c>
    </row>
    <row r="235" spans="12:12" x14ac:dyDescent="0.3">
      <c r="L235" t="str">
        <f t="shared" si="50"/>
        <v/>
      </c>
    </row>
    <row r="236" spans="12:12" x14ac:dyDescent="0.3">
      <c r="L236" t="str">
        <f t="shared" si="50"/>
        <v/>
      </c>
    </row>
    <row r="237" spans="12:12" x14ac:dyDescent="0.3">
      <c r="L237" t="str">
        <f t="shared" si="50"/>
        <v/>
      </c>
    </row>
    <row r="238" spans="12:12" x14ac:dyDescent="0.3">
      <c r="L238" t="str">
        <f t="shared" si="50"/>
        <v/>
      </c>
    </row>
    <row r="239" spans="12:12" x14ac:dyDescent="0.3">
      <c r="L239" t="str">
        <f t="shared" si="50"/>
        <v/>
      </c>
    </row>
    <row r="240" spans="12:12" x14ac:dyDescent="0.3">
      <c r="L240" t="str">
        <f t="shared" si="50"/>
        <v/>
      </c>
    </row>
    <row r="241" spans="12:12" x14ac:dyDescent="0.3">
      <c r="L241" t="str">
        <f t="shared" si="50"/>
        <v/>
      </c>
    </row>
    <row r="242" spans="12:12" x14ac:dyDescent="0.3">
      <c r="L242" t="str">
        <f t="shared" si="50"/>
        <v/>
      </c>
    </row>
    <row r="243" spans="12:12" x14ac:dyDescent="0.3">
      <c r="L243" t="str">
        <f t="shared" si="50"/>
        <v/>
      </c>
    </row>
    <row r="244" spans="12:12" x14ac:dyDescent="0.3">
      <c r="L244" t="str">
        <f t="shared" si="50"/>
        <v/>
      </c>
    </row>
    <row r="245" spans="12:12" x14ac:dyDescent="0.3">
      <c r="L245" t="str">
        <f t="shared" si="50"/>
        <v/>
      </c>
    </row>
    <row r="246" spans="12:12" x14ac:dyDescent="0.3">
      <c r="L246" t="str">
        <f t="shared" si="50"/>
        <v/>
      </c>
    </row>
    <row r="247" spans="12:12" x14ac:dyDescent="0.3">
      <c r="L247" t="str">
        <f t="shared" si="50"/>
        <v/>
      </c>
    </row>
    <row r="248" spans="12:12" x14ac:dyDescent="0.3">
      <c r="L248" t="str">
        <f t="shared" si="50"/>
        <v/>
      </c>
    </row>
    <row r="249" spans="12:12" x14ac:dyDescent="0.3">
      <c r="L249" t="str">
        <f t="shared" si="50"/>
        <v/>
      </c>
    </row>
    <row r="250" spans="12:12" x14ac:dyDescent="0.3">
      <c r="L250" t="str">
        <f t="shared" si="50"/>
        <v/>
      </c>
    </row>
    <row r="251" spans="12:12" x14ac:dyDescent="0.3">
      <c r="L251" t="str">
        <f t="shared" si="50"/>
        <v/>
      </c>
    </row>
    <row r="252" spans="12:12" x14ac:dyDescent="0.3">
      <c r="L252" t="str">
        <f t="shared" si="50"/>
        <v/>
      </c>
    </row>
    <row r="253" spans="12:12" x14ac:dyDescent="0.3">
      <c r="L253" t="str">
        <f t="shared" si="50"/>
        <v/>
      </c>
    </row>
    <row r="254" spans="12:12" x14ac:dyDescent="0.3">
      <c r="L254" t="str">
        <f t="shared" si="50"/>
        <v/>
      </c>
    </row>
    <row r="255" spans="12:12" x14ac:dyDescent="0.3">
      <c r="L255" t="str">
        <f t="shared" si="50"/>
        <v/>
      </c>
    </row>
    <row r="256" spans="12:12" x14ac:dyDescent="0.3">
      <c r="L256" t="str">
        <f t="shared" si="50"/>
        <v/>
      </c>
    </row>
    <row r="257" spans="12:12" x14ac:dyDescent="0.3">
      <c r="L257" t="str">
        <f t="shared" si="50"/>
        <v/>
      </c>
    </row>
    <row r="258" spans="12:12" x14ac:dyDescent="0.3">
      <c r="L258" t="str">
        <f t="shared" si="50"/>
        <v/>
      </c>
    </row>
    <row r="259" spans="12:12" x14ac:dyDescent="0.3">
      <c r="L259" t="str">
        <f t="shared" si="50"/>
        <v/>
      </c>
    </row>
    <row r="260" spans="12:12" x14ac:dyDescent="0.3">
      <c r="L260" t="str">
        <f t="shared" si="50"/>
        <v/>
      </c>
    </row>
    <row r="261" spans="12:12" x14ac:dyDescent="0.3">
      <c r="L261" t="str">
        <f t="shared" ref="L261:L324" si="51">IF(A261="","",A261)</f>
        <v/>
      </c>
    </row>
    <row r="262" spans="12:12" x14ac:dyDescent="0.3">
      <c r="L262" t="str">
        <f t="shared" si="51"/>
        <v/>
      </c>
    </row>
    <row r="263" spans="12:12" x14ac:dyDescent="0.3">
      <c r="L263" t="str">
        <f t="shared" si="51"/>
        <v/>
      </c>
    </row>
    <row r="264" spans="12:12" x14ac:dyDescent="0.3">
      <c r="L264" t="str">
        <f t="shared" si="51"/>
        <v/>
      </c>
    </row>
    <row r="265" spans="12:12" x14ac:dyDescent="0.3">
      <c r="L265" t="str">
        <f t="shared" si="51"/>
        <v/>
      </c>
    </row>
    <row r="266" spans="12:12" x14ac:dyDescent="0.3">
      <c r="L266" t="str">
        <f t="shared" si="51"/>
        <v/>
      </c>
    </row>
    <row r="267" spans="12:12" x14ac:dyDescent="0.3">
      <c r="L267" t="str">
        <f t="shared" si="51"/>
        <v/>
      </c>
    </row>
    <row r="268" spans="12:12" x14ac:dyDescent="0.3">
      <c r="L268" t="str">
        <f t="shared" si="51"/>
        <v/>
      </c>
    </row>
    <row r="269" spans="12:12" x14ac:dyDescent="0.3">
      <c r="L269" t="str">
        <f t="shared" si="51"/>
        <v/>
      </c>
    </row>
    <row r="270" spans="12:12" x14ac:dyDescent="0.3">
      <c r="L270" t="str">
        <f t="shared" si="51"/>
        <v/>
      </c>
    </row>
    <row r="271" spans="12:12" x14ac:dyDescent="0.3">
      <c r="L271" t="str">
        <f t="shared" si="51"/>
        <v/>
      </c>
    </row>
    <row r="272" spans="12:12" x14ac:dyDescent="0.3">
      <c r="L272" t="str">
        <f t="shared" si="51"/>
        <v/>
      </c>
    </row>
    <row r="273" spans="12:12" x14ac:dyDescent="0.3">
      <c r="L273" t="str">
        <f t="shared" si="51"/>
        <v/>
      </c>
    </row>
    <row r="274" spans="12:12" x14ac:dyDescent="0.3">
      <c r="L274" t="str">
        <f t="shared" si="51"/>
        <v/>
      </c>
    </row>
    <row r="275" spans="12:12" x14ac:dyDescent="0.3">
      <c r="L275" t="str">
        <f t="shared" si="51"/>
        <v/>
      </c>
    </row>
    <row r="276" spans="12:12" x14ac:dyDescent="0.3">
      <c r="L276" t="str">
        <f t="shared" si="51"/>
        <v/>
      </c>
    </row>
    <row r="277" spans="12:12" x14ac:dyDescent="0.3">
      <c r="L277" t="str">
        <f t="shared" si="51"/>
        <v/>
      </c>
    </row>
    <row r="278" spans="12:12" x14ac:dyDescent="0.3">
      <c r="L278" t="str">
        <f t="shared" si="51"/>
        <v/>
      </c>
    </row>
    <row r="279" spans="12:12" x14ac:dyDescent="0.3">
      <c r="L279" t="str">
        <f t="shared" si="51"/>
        <v/>
      </c>
    </row>
    <row r="280" spans="12:12" x14ac:dyDescent="0.3">
      <c r="L280" t="str">
        <f t="shared" si="51"/>
        <v/>
      </c>
    </row>
    <row r="281" spans="12:12" x14ac:dyDescent="0.3">
      <c r="L281" t="str">
        <f t="shared" si="51"/>
        <v/>
      </c>
    </row>
    <row r="282" spans="12:12" x14ac:dyDescent="0.3">
      <c r="L282" t="str">
        <f t="shared" si="51"/>
        <v/>
      </c>
    </row>
    <row r="283" spans="12:12" x14ac:dyDescent="0.3">
      <c r="L283" t="str">
        <f t="shared" si="51"/>
        <v/>
      </c>
    </row>
    <row r="284" spans="12:12" x14ac:dyDescent="0.3">
      <c r="L284" t="str">
        <f t="shared" si="51"/>
        <v/>
      </c>
    </row>
    <row r="285" spans="12:12" x14ac:dyDescent="0.3">
      <c r="L285" t="str">
        <f t="shared" si="51"/>
        <v/>
      </c>
    </row>
    <row r="286" spans="12:12" x14ac:dyDescent="0.3">
      <c r="L286" t="str">
        <f t="shared" si="51"/>
        <v/>
      </c>
    </row>
    <row r="287" spans="12:12" x14ac:dyDescent="0.3">
      <c r="L287" t="str">
        <f t="shared" si="51"/>
        <v/>
      </c>
    </row>
    <row r="288" spans="12:12" x14ac:dyDescent="0.3">
      <c r="L288" t="str">
        <f t="shared" si="51"/>
        <v/>
      </c>
    </row>
    <row r="289" spans="12:12" x14ac:dyDescent="0.3">
      <c r="L289" t="str">
        <f t="shared" si="51"/>
        <v/>
      </c>
    </row>
    <row r="290" spans="12:12" x14ac:dyDescent="0.3">
      <c r="L290" t="str">
        <f t="shared" si="51"/>
        <v/>
      </c>
    </row>
    <row r="291" spans="12:12" x14ac:dyDescent="0.3">
      <c r="L291" t="str">
        <f t="shared" si="51"/>
        <v/>
      </c>
    </row>
    <row r="292" spans="12:12" x14ac:dyDescent="0.3">
      <c r="L292" t="str">
        <f t="shared" si="51"/>
        <v/>
      </c>
    </row>
    <row r="293" spans="12:12" x14ac:dyDescent="0.3">
      <c r="L293" t="str">
        <f t="shared" si="51"/>
        <v/>
      </c>
    </row>
    <row r="294" spans="12:12" x14ac:dyDescent="0.3">
      <c r="L294" t="str">
        <f t="shared" si="51"/>
        <v/>
      </c>
    </row>
    <row r="295" spans="12:12" x14ac:dyDescent="0.3">
      <c r="L295" t="str">
        <f t="shared" si="51"/>
        <v/>
      </c>
    </row>
    <row r="296" spans="12:12" x14ac:dyDescent="0.3">
      <c r="L296" t="str">
        <f t="shared" si="51"/>
        <v/>
      </c>
    </row>
    <row r="297" spans="12:12" x14ac:dyDescent="0.3">
      <c r="L297" t="str">
        <f t="shared" si="51"/>
        <v/>
      </c>
    </row>
    <row r="298" spans="12:12" x14ac:dyDescent="0.3">
      <c r="L298" t="str">
        <f t="shared" si="51"/>
        <v/>
      </c>
    </row>
    <row r="299" spans="12:12" x14ac:dyDescent="0.3">
      <c r="L299" t="str">
        <f t="shared" si="51"/>
        <v/>
      </c>
    </row>
    <row r="300" spans="12:12" x14ac:dyDescent="0.3">
      <c r="L300" t="str">
        <f t="shared" si="51"/>
        <v/>
      </c>
    </row>
    <row r="301" spans="12:12" x14ac:dyDescent="0.3">
      <c r="L301" t="str">
        <f t="shared" si="51"/>
        <v/>
      </c>
    </row>
    <row r="302" spans="12:12" x14ac:dyDescent="0.3">
      <c r="L302" t="str">
        <f t="shared" si="51"/>
        <v/>
      </c>
    </row>
    <row r="303" spans="12:12" x14ac:dyDescent="0.3">
      <c r="L303" t="str">
        <f t="shared" si="51"/>
        <v/>
      </c>
    </row>
    <row r="304" spans="12:12" x14ac:dyDescent="0.3">
      <c r="L304" t="str">
        <f t="shared" si="51"/>
        <v/>
      </c>
    </row>
    <row r="305" spans="12:12" x14ac:dyDescent="0.3">
      <c r="L305" t="str">
        <f t="shared" si="51"/>
        <v/>
      </c>
    </row>
    <row r="306" spans="12:12" x14ac:dyDescent="0.3">
      <c r="L306" t="str">
        <f t="shared" si="51"/>
        <v/>
      </c>
    </row>
    <row r="307" spans="12:12" x14ac:dyDescent="0.3">
      <c r="L307" t="str">
        <f t="shared" si="51"/>
        <v/>
      </c>
    </row>
    <row r="308" spans="12:12" x14ac:dyDescent="0.3">
      <c r="L308" t="str">
        <f t="shared" si="51"/>
        <v/>
      </c>
    </row>
    <row r="309" spans="12:12" x14ac:dyDescent="0.3">
      <c r="L309" t="str">
        <f t="shared" si="51"/>
        <v/>
      </c>
    </row>
    <row r="310" spans="12:12" x14ac:dyDescent="0.3">
      <c r="L310" t="str">
        <f t="shared" si="51"/>
        <v/>
      </c>
    </row>
    <row r="311" spans="12:12" x14ac:dyDescent="0.3">
      <c r="L311" t="str">
        <f t="shared" si="51"/>
        <v/>
      </c>
    </row>
    <row r="312" spans="12:12" x14ac:dyDescent="0.3">
      <c r="L312" t="str">
        <f t="shared" si="51"/>
        <v/>
      </c>
    </row>
    <row r="313" spans="12:12" x14ac:dyDescent="0.3">
      <c r="L313" t="str">
        <f t="shared" si="51"/>
        <v/>
      </c>
    </row>
    <row r="314" spans="12:12" x14ac:dyDescent="0.3">
      <c r="L314" t="str">
        <f t="shared" si="51"/>
        <v/>
      </c>
    </row>
    <row r="315" spans="12:12" x14ac:dyDescent="0.3">
      <c r="L315" t="str">
        <f t="shared" si="51"/>
        <v/>
      </c>
    </row>
    <row r="316" spans="12:12" x14ac:dyDescent="0.3">
      <c r="L316" t="str">
        <f t="shared" si="51"/>
        <v/>
      </c>
    </row>
    <row r="317" spans="12:12" x14ac:dyDescent="0.3">
      <c r="L317" t="str">
        <f t="shared" si="51"/>
        <v/>
      </c>
    </row>
    <row r="318" spans="12:12" x14ac:dyDescent="0.3">
      <c r="L318" t="str">
        <f t="shared" si="51"/>
        <v/>
      </c>
    </row>
    <row r="319" spans="12:12" x14ac:dyDescent="0.3">
      <c r="L319" t="str">
        <f t="shared" si="51"/>
        <v/>
      </c>
    </row>
    <row r="320" spans="12:12" x14ac:dyDescent="0.3">
      <c r="L320" t="str">
        <f t="shared" si="51"/>
        <v/>
      </c>
    </row>
    <row r="321" spans="12:12" x14ac:dyDescent="0.3">
      <c r="L321" t="str">
        <f t="shared" si="51"/>
        <v/>
      </c>
    </row>
    <row r="322" spans="12:12" x14ac:dyDescent="0.3">
      <c r="L322" t="str">
        <f t="shared" si="51"/>
        <v/>
      </c>
    </row>
    <row r="323" spans="12:12" x14ac:dyDescent="0.3">
      <c r="L323" t="str">
        <f t="shared" si="51"/>
        <v/>
      </c>
    </row>
    <row r="324" spans="12:12" x14ac:dyDescent="0.3">
      <c r="L324" t="str">
        <f t="shared" si="51"/>
        <v/>
      </c>
    </row>
    <row r="325" spans="12:12" x14ac:dyDescent="0.3">
      <c r="L325" t="str">
        <f t="shared" ref="L325:L342" si="52">IF(A325="","",A325)</f>
        <v/>
      </c>
    </row>
    <row r="326" spans="12:12" x14ac:dyDescent="0.3">
      <c r="L326" t="str">
        <f t="shared" si="52"/>
        <v/>
      </c>
    </row>
    <row r="327" spans="12:12" x14ac:dyDescent="0.3">
      <c r="L327" t="str">
        <f t="shared" si="52"/>
        <v/>
      </c>
    </row>
    <row r="328" spans="12:12" x14ac:dyDescent="0.3">
      <c r="L328" t="str">
        <f t="shared" si="52"/>
        <v/>
      </c>
    </row>
    <row r="329" spans="12:12" x14ac:dyDescent="0.3">
      <c r="L329" t="str">
        <f t="shared" si="52"/>
        <v/>
      </c>
    </row>
    <row r="330" spans="12:12" x14ac:dyDescent="0.3">
      <c r="L330" t="str">
        <f t="shared" si="52"/>
        <v/>
      </c>
    </row>
    <row r="331" spans="12:12" x14ac:dyDescent="0.3">
      <c r="L331" t="str">
        <f t="shared" si="52"/>
        <v/>
      </c>
    </row>
    <row r="332" spans="12:12" x14ac:dyDescent="0.3">
      <c r="L332" t="str">
        <f t="shared" si="52"/>
        <v/>
      </c>
    </row>
    <row r="333" spans="12:12" x14ac:dyDescent="0.3">
      <c r="L333" t="str">
        <f t="shared" si="52"/>
        <v/>
      </c>
    </row>
    <row r="334" spans="12:12" x14ac:dyDescent="0.3">
      <c r="L334" t="str">
        <f t="shared" si="52"/>
        <v/>
      </c>
    </row>
    <row r="335" spans="12:12" x14ac:dyDescent="0.3">
      <c r="L335" t="str">
        <f t="shared" si="52"/>
        <v/>
      </c>
    </row>
    <row r="336" spans="12:12" x14ac:dyDescent="0.3">
      <c r="L336" t="str">
        <f t="shared" si="52"/>
        <v/>
      </c>
    </row>
    <row r="337" spans="12:12" x14ac:dyDescent="0.3">
      <c r="L337" t="str">
        <f t="shared" si="52"/>
        <v/>
      </c>
    </row>
    <row r="338" spans="12:12" x14ac:dyDescent="0.3">
      <c r="L338" t="str">
        <f t="shared" si="52"/>
        <v/>
      </c>
    </row>
    <row r="339" spans="12:12" x14ac:dyDescent="0.3">
      <c r="L339" t="str">
        <f t="shared" si="52"/>
        <v/>
      </c>
    </row>
    <row r="340" spans="12:12" x14ac:dyDescent="0.3">
      <c r="L340" t="str">
        <f t="shared" si="52"/>
        <v/>
      </c>
    </row>
    <row r="341" spans="12:12" x14ac:dyDescent="0.3">
      <c r="L341" t="str">
        <f t="shared" si="52"/>
        <v/>
      </c>
    </row>
    <row r="342" spans="12:12" x14ac:dyDescent="0.3">
      <c r="L342" t="str">
        <f t="shared" si="52"/>
        <v/>
      </c>
    </row>
  </sheetData>
  <mergeCells count="2">
    <mergeCell ref="A2:J2"/>
    <mergeCell ref="M2:V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 Gijsbertsen (student)</dc:creator>
  <cp:lastModifiedBy>Niels Gijsbertsen (student)</cp:lastModifiedBy>
  <dcterms:created xsi:type="dcterms:W3CDTF">2026-06-20T16:42:51Z</dcterms:created>
  <dcterms:modified xsi:type="dcterms:W3CDTF">2026-06-20T21:05:38Z</dcterms:modified>
</cp:coreProperties>
</file>